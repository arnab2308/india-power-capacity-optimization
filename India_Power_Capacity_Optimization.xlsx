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nab\Desktop\CAP_EX\india-power-capacity-optimization\"/>
    </mc:Choice>
  </mc:AlternateContent>
  <xr:revisionPtr revIDLastSave="0" documentId="13_ncr:1_{F77E0251-5DC0-4763-9445-E8DE34945F4B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Assumptions" sheetId="1" r:id="rId1"/>
    <sheet name="Baseline Capacity" sheetId="2" r:id="rId2"/>
    <sheet name="Optimization Model" sheetId="3" r:id="rId3"/>
    <sheet name="Results &amp; Charts" sheetId="4" r:id="rId4"/>
    <sheet name="Scenario Analysis" sheetId="5" r:id="rId5"/>
    <sheet name="Methodolog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5" l="1"/>
  <c r="E65" i="5"/>
  <c r="D65" i="5"/>
  <c r="C65" i="5"/>
  <c r="F60" i="5"/>
  <c r="E60" i="5"/>
  <c r="D60" i="5"/>
  <c r="C60" i="5"/>
  <c r="F59" i="5"/>
  <c r="E59" i="5"/>
  <c r="D59" i="5"/>
  <c r="C59" i="5"/>
  <c r="F58" i="5"/>
  <c r="E58" i="5"/>
  <c r="D58" i="5"/>
  <c r="C58" i="5"/>
  <c r="F57" i="5"/>
  <c r="E57" i="5"/>
  <c r="D57" i="5"/>
  <c r="C57" i="5"/>
  <c r="F56" i="5"/>
  <c r="E56" i="5"/>
  <c r="D56" i="5"/>
  <c r="C56" i="5"/>
  <c r="F55" i="5"/>
  <c r="E55" i="5"/>
  <c r="D55" i="5"/>
  <c r="C55" i="5"/>
  <c r="F54" i="5"/>
  <c r="E54" i="5"/>
  <c r="D54" i="5"/>
  <c r="C54" i="5"/>
  <c r="C27" i="4"/>
  <c r="C26" i="4"/>
  <c r="C25" i="4"/>
  <c r="C24" i="4"/>
  <c r="C23" i="4"/>
  <c r="C22" i="4"/>
  <c r="C21" i="4"/>
  <c r="G32" i="3"/>
  <c r="F32" i="3"/>
  <c r="E32" i="3"/>
  <c r="D32" i="3"/>
  <c r="C32" i="3"/>
  <c r="G28" i="3"/>
  <c r="G35" i="4" s="1"/>
  <c r="F28" i="3"/>
  <c r="F35" i="4" s="1"/>
  <c r="E28" i="3"/>
  <c r="E35" i="4" s="1"/>
  <c r="D28" i="3"/>
  <c r="D35" i="4" s="1"/>
  <c r="C28" i="3"/>
  <c r="C35" i="4" s="1"/>
  <c r="C24" i="3"/>
  <c r="C23" i="3"/>
  <c r="D22" i="3"/>
  <c r="E22" i="3" s="1"/>
  <c r="D21" i="3"/>
  <c r="D26" i="4" s="1"/>
  <c r="D20" i="3"/>
  <c r="E20" i="3" s="1"/>
  <c r="E19" i="3"/>
  <c r="E24" i="4" s="1"/>
  <c r="D19" i="3"/>
  <c r="D24" i="4" s="1"/>
  <c r="D18" i="3"/>
  <c r="E17" i="3"/>
  <c r="E22" i="4" s="1"/>
  <c r="D17" i="3"/>
  <c r="D22" i="4" s="1"/>
  <c r="E16" i="3"/>
  <c r="D16" i="3"/>
  <c r="H12" i="3"/>
  <c r="H11" i="3"/>
  <c r="H10" i="3"/>
  <c r="H9" i="3"/>
  <c r="H8" i="3"/>
  <c r="C35" i="3" s="1"/>
  <c r="D35" i="3" s="1"/>
  <c r="H7" i="3"/>
  <c r="H6" i="3"/>
  <c r="H15" i="2"/>
  <c r="G15" i="2"/>
  <c r="F15" i="2"/>
  <c r="E15" i="2"/>
  <c r="D15" i="2"/>
  <c r="C15" i="2"/>
  <c r="H14" i="2"/>
  <c r="G14" i="2"/>
  <c r="F14" i="2"/>
  <c r="E14" i="2"/>
  <c r="D14" i="2"/>
  <c r="C14" i="2"/>
  <c r="M8" i="1"/>
  <c r="L8" i="1"/>
  <c r="K8" i="1"/>
  <c r="J8" i="1"/>
  <c r="I8" i="1"/>
  <c r="H8" i="1"/>
  <c r="G8" i="1"/>
  <c r="F8" i="1"/>
  <c r="E8" i="1"/>
  <c r="D8" i="1"/>
  <c r="C64" i="5" l="1"/>
  <c r="F63" i="5"/>
  <c r="F68" i="5" s="1"/>
  <c r="C67" i="5"/>
  <c r="C69" i="5" s="1"/>
  <c r="C70" i="5" s="1"/>
  <c r="D63" i="5"/>
  <c r="D68" i="5" s="1"/>
  <c r="E63" i="5"/>
  <c r="E68" i="5" s="1"/>
  <c r="D64" i="5"/>
  <c r="E64" i="5"/>
  <c r="E67" i="5"/>
  <c r="E69" i="5" s="1"/>
  <c r="E70" i="5" s="1"/>
  <c r="F64" i="5"/>
  <c r="F67" i="5"/>
  <c r="F69" i="5" s="1"/>
  <c r="F70" i="5" s="1"/>
  <c r="D67" i="5"/>
  <c r="D69" i="5" s="1"/>
  <c r="D70" i="5" s="1"/>
  <c r="C63" i="5"/>
  <c r="C68" i="5" s="1"/>
  <c r="C30" i="3"/>
  <c r="D25" i="4"/>
  <c r="F19" i="3"/>
  <c r="F24" i="4" s="1"/>
  <c r="D23" i="3"/>
  <c r="D21" i="4"/>
  <c r="C29" i="4"/>
  <c r="F22" i="3"/>
  <c r="E27" i="4"/>
  <c r="C36" i="4"/>
  <c r="F20" i="3"/>
  <c r="E25" i="4"/>
  <c r="F16" i="3"/>
  <c r="G19" i="3"/>
  <c r="E21" i="3"/>
  <c r="D24" i="3"/>
  <c r="E21" i="4"/>
  <c r="C28" i="4"/>
  <c r="E18" i="3"/>
  <c r="E23" i="3" s="1"/>
  <c r="E24" i="3"/>
  <c r="C31" i="3"/>
  <c r="H28" i="3"/>
  <c r="C29" i="3"/>
  <c r="C41" i="3" s="1"/>
  <c r="D23" i="4"/>
  <c r="D27" i="4"/>
  <c r="C66" i="5"/>
  <c r="D66" i="5"/>
  <c r="F17" i="3"/>
  <c r="E66" i="5"/>
  <c r="F66" i="5"/>
  <c r="D29" i="4" l="1"/>
  <c r="D31" i="3"/>
  <c r="D28" i="4"/>
  <c r="D37" i="4"/>
  <c r="D33" i="3"/>
  <c r="E26" i="4"/>
  <c r="E29" i="4" s="1"/>
  <c r="F21" i="3"/>
  <c r="C37" i="4"/>
  <c r="C33" i="3"/>
  <c r="F21" i="4"/>
  <c r="G16" i="3"/>
  <c r="D30" i="3"/>
  <c r="E23" i="4"/>
  <c r="F18" i="3"/>
  <c r="G17" i="3"/>
  <c r="F22" i="4"/>
  <c r="G24" i="4"/>
  <c r="H19" i="3"/>
  <c r="C5" i="4"/>
  <c r="G20" i="3"/>
  <c r="F25" i="4"/>
  <c r="F27" i="4"/>
  <c r="G22" i="3"/>
  <c r="E28" i="4" l="1"/>
  <c r="F23" i="3"/>
  <c r="E31" i="3"/>
  <c r="E37" i="4" s="1"/>
  <c r="H20" i="3"/>
  <c r="G25" i="4"/>
  <c r="H17" i="3"/>
  <c r="G22" i="4"/>
  <c r="E33" i="3"/>
  <c r="E30" i="3"/>
  <c r="E36" i="4" s="1"/>
  <c r="F23" i="4"/>
  <c r="G18" i="3"/>
  <c r="F31" i="3" s="1"/>
  <c r="D36" i="4"/>
  <c r="F26" i="4"/>
  <c r="F29" i="4" s="1"/>
  <c r="G21" i="3"/>
  <c r="G23" i="3"/>
  <c r="G21" i="4"/>
  <c r="H16" i="3"/>
  <c r="G27" i="4"/>
  <c r="H22" i="3"/>
  <c r="H24" i="4"/>
  <c r="C13" i="4"/>
  <c r="F24" i="3"/>
  <c r="F28" i="4" l="1"/>
  <c r="F33" i="3"/>
  <c r="F37" i="4"/>
  <c r="H27" i="4"/>
  <c r="I6" i="4"/>
  <c r="C16" i="4"/>
  <c r="C38" i="3"/>
  <c r="D38" i="3" s="1"/>
  <c r="C10" i="4"/>
  <c r="C36" i="3"/>
  <c r="D36" i="3" s="1"/>
  <c r="H21" i="4"/>
  <c r="E6" i="4"/>
  <c r="G6" i="4"/>
  <c r="C37" i="3"/>
  <c r="D37" i="3" s="1"/>
  <c r="H22" i="4"/>
  <c r="C11" i="4"/>
  <c r="G29" i="4"/>
  <c r="G23" i="4"/>
  <c r="H18" i="3"/>
  <c r="F30" i="3"/>
  <c r="F36" i="4" s="1"/>
  <c r="H21" i="3"/>
  <c r="H24" i="3" s="1"/>
  <c r="G26" i="4"/>
  <c r="G24" i="3"/>
  <c r="C14" i="4"/>
  <c r="H25" i="4"/>
  <c r="G28" i="4" l="1"/>
  <c r="I5" i="4"/>
  <c r="C34" i="3"/>
  <c r="D34" i="3" s="1"/>
  <c r="H23" i="4"/>
  <c r="C12" i="4"/>
  <c r="G30" i="3"/>
  <c r="G36" i="4" s="1"/>
  <c r="G31" i="3"/>
  <c r="H26" i="4"/>
  <c r="H29" i="4" s="1"/>
  <c r="C15" i="4"/>
  <c r="H23" i="3"/>
  <c r="C6" i="4" s="1"/>
  <c r="H28" i="4" l="1"/>
  <c r="G33" i="3"/>
  <c r="H33" i="3" s="1"/>
  <c r="G37" i="4"/>
  <c r="C17" i="4"/>
  <c r="C42" i="3"/>
  <c r="D13" i="4" l="1"/>
  <c r="D10" i="4"/>
  <c r="D16" i="4"/>
  <c r="D14" i="4"/>
  <c r="D11" i="4"/>
  <c r="E5" i="4"/>
  <c r="C43" i="3"/>
  <c r="G5" i="4" s="1"/>
  <c r="D15" i="4"/>
  <c r="D12" i="4"/>
  <c r="D17" i="4" l="1"/>
</calcChain>
</file>

<file path=xl/sharedStrings.xml><?xml version="1.0" encoding="utf-8"?>
<sst xmlns="http://schemas.openxmlformats.org/spreadsheetml/2006/main" count="335" uniqueCount="225">
  <si>
    <t>INDIA POWER SECTOR — CAPACITY EXPANSION OPTIMIZATION MODEL</t>
  </si>
  <si>
    <t>Assumptions &amp; Input Parameters  |  All inputs in Blue (editable)  |  Sources: CEA, IEA, CEEW, PIB, BNEF</t>
  </si>
  <si>
    <t>A. DEMAND PROJECTIONS (GW)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</si>
  <si>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</si>
  <si>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</si>
  <si>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</si>
  <si>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</si>
  <si>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</si>
  <si>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</si>
  <si>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</si>
  <si>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</si>
  <si>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</si>
  <si>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</si>
  <si>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</si>
  <si>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</si>
  <si>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Peak Demand (GW)</t>
  </si>
  <si>
    <t>Energy Consumption (BU)</t>
  </si>
  <si>
    <t>Peak Demand CAGR (%)</t>
  </si>
  <si>
    <t>—</t>
  </si>
  <si>
    <t>Source: CEA, IEA Electricity 2025, PIB Press Releases, CEEW (2025). Peak demand 2024 = 250 GW (record); 2030 target ~355 GW per MoP projections.</t>
  </si>
  <si>
    <t>B. TECHNOLOGY COST &amp; PERFORMANCE PARAMETERS</t>
  </si>
  <si>
    <t>Technology</t>
  </si>
  <si>
    <t>Capital Cost
(₹ Cr/MW)</t>
  </si>
  <si>
    <t>O&amp;M Cost
(₹ Cr/MW/yr)</t>
  </si>
  <si>
    <t>Capacity Factor
(%)</t>
  </si>
  <si>
    <t>Plant Life
(Years)</t>
  </si>
  <si>
    <t>LCOE
(₹/kWh)</t>
  </si>
  <si>
    <t>CO₂ Intensity
(tCO₂/MWh)</t>
  </si>
  <si>
    <t>Solar PV</t>
  </si>
  <si>
    <t>Onshore Wind</t>
  </si>
  <si>
    <t>Coal (Super-Critical)</t>
  </si>
  <si>
    <t>Gas (CCGT)</t>
  </si>
  <si>
    <t>Large Hydro</t>
  </si>
  <si>
    <t>Nuclear</t>
  </si>
  <si>
    <t>BESS (4-hr)</t>
  </si>
  <si>
    <t>Source: BNEF 2024, IEA WEO 2024, CEEW 2025, CEA. Solar capex $350/kW; Wind $550/kW; Coal $1,150/kW (SC). CF: CEA PLF data FY24-25.</t>
  </si>
  <si>
    <t>C. POLICY CONSTRAINTS &amp; TARGETS</t>
  </si>
  <si>
    <t>Parameter</t>
  </si>
  <si>
    <t>Value</t>
  </si>
  <si>
    <t>Unit</t>
  </si>
  <si>
    <t>Reference</t>
  </si>
  <si>
    <t>500 GW Non-Fossil Target (2030)</t>
  </si>
  <si>
    <t>GW</t>
  </si>
  <si>
    <t>Paris NDC / PM Modi pledge</t>
  </si>
  <si>
    <t>Max New Coal Capacity (2025-30)</t>
  </si>
  <si>
    <t>CEA: ~27 GW under construction</t>
  </si>
  <si>
    <t>Min Solar Capacity (2030)</t>
  </si>
  <si>
    <t>MNRE target; 110 GW in 2025</t>
  </si>
  <si>
    <t>Min Wind Capacity (2030)</t>
  </si>
  <si>
    <t>IWTMA target</t>
  </si>
  <si>
    <t>Min BESS Capacity (2030)</t>
  </si>
  <si>
    <t>MoP Energy Storage Obligation</t>
  </si>
  <si>
    <t>Carbon Tax (₹/tCO₂)</t>
  </si>
  <si>
    <t>₹/t</t>
  </si>
  <si>
    <t>Proposed range; GST on coal</t>
  </si>
  <si>
    <t>Reserve Margin Required (%)</t>
  </si>
  <si>
    <t>%</t>
  </si>
  <si>
    <t>CEA adequacy standard</t>
  </si>
  <si>
    <t>Annual Budget Limit (₹ Cr)</t>
  </si>
  <si>
    <t>₹ Cr</t>
  </si>
  <si>
    <t>~$17.5B/yr power capex</t>
  </si>
  <si>
    <t>INDIA POWER SECTOR — CURRENT INSTALLED CAPACITY BASELINE</t>
  </si>
  <si>
    <t>Installed Capacity by Source (2020–2025)  |  Source: CEA, PIB, IBEF</t>
  </si>
  <si>
    <t>INSTALLED CAPACITY BY SOURCE (GW)</t>
  </si>
  <si>
    <t>Source</t>
  </si>
  <si>
    <t>Coal</t>
  </si>
  <si>
    <t>BESS</t>
  </si>
  <si>
    <t>TOTAL INSTALLED</t>
  </si>
  <si>
    <t>Non-Fossil Total</t>
  </si>
  <si>
    <t>Source: CEA Installed Capacity Reports, PIB (2024-25), IBEF Power Sector Report. Solar surpassed 100 GW in Jan 2025.</t>
  </si>
  <si>
    <t>CAPACITY EXPANSION OPTIMIZATION — SOLVER MODEL</t>
  </si>
  <si>
    <t>Objective: Minimize Total System Cost  |  Subject to: Demand, Policy, Carbon &amp; Budget Constraints  |  Use Excel Solver (GRG Nonlinear)</t>
  </si>
  <si>
    <t>DECISION VARIABLES — New Capacity to Add (GW) per Year [2026–2030]</t>
  </si>
  <si>
    <t>Total New (GW)</t>
  </si>
  <si>
    <t>CUMULATIVE INSTALLED CAPACITY (GW) — Base 2025 + New Additions</t>
  </si>
  <si>
    <t>Base 2025</t>
  </si>
  <si>
    <t>OBJECTIVE FUNCTION &amp; CONSTRAINTS</t>
  </si>
  <si>
    <t>Metric</t>
  </si>
  <si>
    <t>Status</t>
  </si>
  <si>
    <t>Annual Capex (₹ Cr)</t>
  </si>
  <si>
    <t>Total 5-Year Capex (₹ Cr)</t>
  </si>
  <si>
    <t>Annual CO₂ Emissions (Mt)</t>
  </si>
  <si>
    <t>Effective Gen Capacity (GW)</t>
  </si>
  <si>
    <t>Required Capacity (w/ Reserve)</t>
  </si>
  <si>
    <t>Surplus / (Deficit) GW</t>
  </si>
  <si>
    <t>Non-Fossil 2030 (GW) vs 500 GW Target</t>
  </si>
  <si>
    <t>New Coal Added (GW) vs 27 GW Cap</t>
  </si>
  <si>
    <t>Solar 2030 (GW) vs 175 GW Min</t>
  </si>
  <si>
    <t>Wind 2030 (GW) vs 100 GW Min</t>
  </si>
  <si>
    <t>BESS 2030 (GW) vs 60 GW Min</t>
  </si>
  <si>
    <t>★ OBJECTIVE: MINIMIZE TOTAL SYSTEM COST (₹ Cr)</t>
  </si>
  <si>
    <t>Total 5-yr Capex (₹ Cr)</t>
  </si>
  <si>
    <t>Carbon Penalty Cost (₹ Cr)</t>
  </si>
  <si>
    <t>★ TOTAL SYSTEM COST (₹ Cr) ← SOLVER OBJECTIVE</t>
  </si>
  <si>
    <t>📋  SOLVER INSTRUCTIONS</t>
  </si>
  <si>
    <t>1. Go to Data → Solver (Windows) or Data → Solver (Mac).</t>
  </si>
  <si>
    <t>4. Add Constraints:</t>
  </si>
  <si>
    <t>5. Select Method: GRG Nonlinear → Solve</t>
  </si>
  <si>
    <t>OPTIMIZATION RESULTS &amp; SCENARIO ANALYSIS</t>
  </si>
  <si>
    <t>Post-Solver Output  |  Capacity Mix Evolution  |  Cost &amp; Emissions Breakdown</t>
  </si>
  <si>
    <t>KEY PERFORMANCE INDICATORS</t>
  </si>
  <si>
    <t>Total 5yr Capex</t>
  </si>
  <si>
    <t>Carbon Penalty</t>
  </si>
  <si>
    <t>Total System Cost</t>
  </si>
  <si>
    <t>2030 Non-Fossil Capacity</t>
  </si>
  <si>
    <t>2030 Total Capacity</t>
  </si>
  <si>
    <t>2030 Solar Capacity</t>
  </si>
  <si>
    <t>2030 Wind Capacity</t>
  </si>
  <si>
    <t>2030 BESS Capacity</t>
  </si>
  <si>
    <t>2030 PROJECTED CAPACITY MIX (GW)</t>
  </si>
  <si>
    <t>Capacity (GW)</t>
  </si>
  <si>
    <t>Share (%)</t>
  </si>
  <si>
    <t>TOTAL</t>
  </si>
  <si>
    <t>CAPACITY EVOLUTION 2025–2030 (GW)</t>
  </si>
  <si>
    <t>ANNUAL COST &amp; EMISSIONS BREAKDOWN</t>
  </si>
  <si>
    <t>CO₂ Emissions (Mt)</t>
  </si>
  <si>
    <t>SCENARIO ANALYSIS — SENSITIVITY TO KEY PARAMETERS</t>
  </si>
  <si>
    <t>Compares: Base Case vs High-RE vs Coal-Heavy vs Balanced pathways to 2030</t>
  </si>
  <si>
    <t>SCENARIO COMPARISON: 2030 CAPACITY &amp; COST OUTCOMES</t>
  </si>
  <si>
    <t>Base Case
(Solver Optimum)</t>
  </si>
  <si>
    <t>High-RE
(Aggressive Clean)</t>
  </si>
  <si>
    <t>Coal-Heavy
(Thermal Focus)</t>
  </si>
  <si>
    <t>Balanced
(Pragmatic Mix)</t>
  </si>
  <si>
    <t>Solar 2030 (GW)</t>
  </si>
  <si>
    <t>Wind 2030 (GW)</t>
  </si>
  <si>
    <t>Coal 2030 (GW)</t>
  </si>
  <si>
    <t>Gas 2030 (GW)</t>
  </si>
  <si>
    <t>Hydro 2030 (GW)</t>
  </si>
  <si>
    <t>Nuclear 2030 (GW)</t>
  </si>
  <si>
    <t>BESS 2030 (GW)</t>
  </si>
  <si>
    <t>Total Capacity (GW)</t>
  </si>
  <si>
    <t>Non-Fossil (GW)</t>
  </si>
  <si>
    <t>Total Capex (₹ L Cr)</t>
  </si>
  <si>
    <t>CO₂ Emissions 2030 (Mt)</t>
  </si>
  <si>
    <t>500 GW Target Met?</t>
  </si>
  <si>
    <t>✓ Yes</t>
  </si>
  <si>
    <t>✗ No</t>
  </si>
  <si>
    <t>CAPACITY BREAKDOWN BY SCENARIO (GW)</t>
  </si>
  <si>
    <t>Base Case</t>
  </si>
  <si>
    <t>High-RE</t>
  </si>
  <si>
    <t>Coal-Heavy</t>
  </si>
  <si>
    <t>Balanced</t>
  </si>
  <si>
    <t>Solar</t>
  </si>
  <si>
    <t>Wind</t>
  </si>
  <si>
    <t>Gas</t>
  </si>
  <si>
    <t>Hydro</t>
  </si>
  <si>
    <t>COST &amp; EMISSIONS COMPARISON</t>
  </si>
  <si>
    <t>Scenario</t>
  </si>
  <si>
    <t>Total Capex
(₹ Lakh Cr)</t>
  </si>
  <si>
    <t>CO₂ 2030
(Mt)</t>
  </si>
  <si>
    <t>Non-Fossil
(GW)</t>
  </si>
  <si>
    <t>SENSITIVITY ANALYSIS — Formula-Driven Scenario Engine</t>
  </si>
  <si>
    <t>Each scenario's additions (blue cells, row 60–66) are editable. All KPIs below recompute live using the same SUMPRODUCT and emissions logic as the Optimization Model. To derive new scenarios: run Solver with modified constraints, then paste the resulting decision variable totals here.</t>
  </si>
  <si>
    <t>NEW CAPACITY ADDED 2026–2030 (GW) — Scenario Assumptions</t>
  </si>
  <si>
    <t>COMPUTED OUTPUTS — All formulas reference inputs above + Assumptions sheet</t>
  </si>
  <si>
    <t>2030 Cumulative (GW)</t>
  </si>
  <si>
    <t xml:space="preserve">  Solar PV</t>
  </si>
  <si>
    <t xml:space="preserve">  Onshore Wind</t>
  </si>
  <si>
    <t xml:space="preserve">  Coal (Super-Critical)</t>
  </si>
  <si>
    <t xml:space="preserve">  Gas (CCGT)</t>
  </si>
  <si>
    <t xml:space="preserve">  Large Hydro</t>
  </si>
  <si>
    <t xml:space="preserve">  Nuclear</t>
  </si>
  <si>
    <t xml:space="preserve">  BESS (4-hr)</t>
  </si>
  <si>
    <t>─── KEY PERFORMANCE INDICATORS ───</t>
  </si>
  <si>
    <t>Non-Fossil 2030 (GW)</t>
  </si>
  <si>
    <t>Total Capacity 2030 (GW)</t>
  </si>
  <si>
    <t>Total 5yr Capex (₹ Cr)</t>
  </si>
  <si>
    <t>Total Capex (₹ Lakh Cr)</t>
  </si>
  <si>
    <t>Carbon Penalty (₹ Cr)</t>
  </si>
  <si>
    <t>★ Total System Cost (₹ Cr)</t>
  </si>
  <si>
    <t>How to create a new scenario: (1) Run Solver on the Optimization Model sheet with modified constraints. (2) Note the Total New (GW) values in column G rows 6–12. (3) Paste those 7 numbers into a new column here. All KPIs will recompute instantly.</t>
  </si>
  <si>
    <t>MODEL METHODOLOGY &amp; DOCUMENTATION</t>
  </si>
  <si>
    <t>Capacity Expansion Optimization — India Power Sector 2025–2030</t>
  </si>
  <si>
    <t>1. MODEL OVERVIEW</t>
  </si>
  <si>
    <t>This model optimizes India's power sector capacity expansion from 2025 to 2030 using Excel Solver.</t>
  </si>
  <si>
    <t>Objective: Minimize total system cost (capital expenditure + carbon penalty) while meeting demand,</t>
  </si>
  <si>
    <t>policy targets (500 GW non-fossil), technology-specific minimums, and annual budget constraints.</t>
  </si>
  <si>
    <t>The model uses GRG Nonlinear solver — appropriate for this convex optimization with continuous variables.</t>
  </si>
  <si>
    <t>2. DATA SOURCES</t>
  </si>
  <si>
    <t>• Demand projections: CEA, IEA Electricity 2025, Ministry of Power (peak demand 250 GW in 2024)</t>
  </si>
  <si>
    <t>• Installed capacity: Central Electricity Authority (CEA) monthly reports, PIB press releases</t>
  </si>
  <si>
    <t>• Technology costs: BNEF 2024, IEA WEO 2024, CEEW 2025 (Solar capex ~₹3.2 Cr/MW in India)</t>
  </si>
  <si>
    <t>• Policy targets: PM Modi's 500 GW non-fossil pledge, MNRE solar/wind targets, MoP BESS obligations</t>
  </si>
  <si>
    <t>• Carbon intensity: IEA emissions factors; CO₂ intensity Coal 0.85 tCO₂/MWh, Gas 0.45 tCO₂/MWh</t>
  </si>
  <si>
    <t>3. DECISION VARIABLES</t>
  </si>
  <si>
    <t>7 technologies × 5 years = 35 decision variables (new capacity added per year in GW):</t>
  </si>
  <si>
    <t>Solar PV, Onshore Wind, Coal (Super-Critical), Gas (CCGT), Large Hydro, Nuclear, BESS (4-hr)</t>
  </si>
  <si>
    <t>All variables constrained ≥ 0 (cannot retire capacity in this model).</t>
  </si>
  <si>
    <t>4. CONSTRAINTS</t>
  </si>
  <si>
    <t>• Demand adequacy: Effective generation capacity ≥ Peak demand × (1 + 15% reserve margin) each year</t>
  </si>
  <si>
    <t>• 500 GW non-fossil target: Solar + Wind + Hydro + Nuclear + BESS ≥ 500 GW by 2030</t>
  </si>
  <si>
    <t>• Coal cap: Total new coal additions ≤ 27 GW (aligned with CEA under-construction pipeline)</t>
  </si>
  <si>
    <t>• Solar ≥ 175 GW by 2030 (MNRE target); Wind ≥ 100 GW (IWTMA); BESS ≥ 60 GW (MoP obligation)</t>
  </si>
  <si>
    <t>• Annual budget: Capital expenditure ≤ ₹1,50,000 Cr per year (~$17.5B)</t>
  </si>
  <si>
    <t>5. OBJECTIVE FUNCTION</t>
  </si>
  <si>
    <t>Minimize: Total System Cost = 5-Year Capital Expenditure + Carbon Penalty Cost</t>
  </si>
  <si>
    <t>• Capex = Σ (New Capacity_i,t × Unit Capex_i) for all technologies i and years t</t>
  </si>
  <si>
    <t>• Carbon Penalty = Σ (Annual CO₂_t × Carbon Tax Rate) — incentivizes cleaner mix</t>
  </si>
  <si>
    <t>• Carbon Tax: ₹300/tCO₂ (indicative; India's proposed carbon pricing range)</t>
  </si>
  <si>
    <t>6. SCENARIO ANALYSIS</t>
  </si>
  <si>
    <t>• Base Case: Solver-optimized solution balancing cost and constraints</t>
  </si>
  <si>
    <t>• High-RE: Aggressive renewable deployment (solar 320 GW, wind 130 GW by 2030)</t>
  </si>
  <si>
    <t>• Coal-Heavy: Thermal-focused expansion (misses 500 GW non-fossil target)</t>
  </si>
  <si>
    <t>• Balanced: Pragmatic mix with moderate RE and storage deployment</t>
  </si>
  <si>
    <t>7. KEY FINDINGS &amp; INSIGHTS</t>
  </si>
  <si>
    <t>• Solar PV dominates optimal expansion due to lowest capex and India's high irradiance</t>
  </si>
  <si>
    <t>• BESS deployment is critical for grid stability as RE share increases past 40%</t>
  </si>
  <si>
    <t>• Carbon penalty creates economic incentive to accelerate renewable deployment</t>
  </si>
  <si>
    <t>• Budget constraint (~₹1.5L Cr/yr) is binding — requires efficient capital allocation</t>
  </si>
  <si>
    <t>• High-RE scenario costs ~24% more but reduces emissions by 15% vs Coal-Heavy</t>
  </si>
  <si>
    <t>8. LIMITATIONS &amp; EXTENSIONS</t>
  </si>
  <si>
    <t>• Model assumes uniform capacity factors (actual vary by season/region)</t>
  </si>
  <si>
    <t>• Transmission constraints and land availability not explicitly modeled</t>
  </si>
  <si>
    <t>• Could be extended with: hourly dispatch simulation, regional disaggregation,</t>
  </si>
  <si>
    <t xml:space="preserve">  learning curve effects on solar/wind costs, and demand-side management</t>
  </si>
  <si>
    <t>2. Set Objective Cell: $C$43  →  To: Min</t>
  </si>
  <si>
    <t>3. By Changing Variable Cells: $C$6:$G$12  (yellow cells — new capacity per technology per year)</t>
  </si>
  <si>
    <t xml:space="preserve">   • C6:G12 &gt;= 0                (no negative capacity)</t>
  </si>
  <si>
    <t xml:space="preserve">   • H8 &lt;= 27                   (max new coal ≤ 27 GW)</t>
  </si>
  <si>
    <t xml:space="preserve">   • H16 &gt;= 175                 (solar 2030 ≥ 175 GW)</t>
  </si>
  <si>
    <t xml:space="preserve">   • H17 &gt;= 100                 (wind 2030 ≥ 100 GW)</t>
  </si>
  <si>
    <t xml:space="preserve">   • H22 &gt;= 60                  (BESS 2030 ≥ 60 GW)</t>
  </si>
  <si>
    <t xml:space="preserve">   • H24 &gt;= 500                 (non-fossil 2030 ≥ 500 GW)</t>
  </si>
  <si>
    <t xml:space="preserve">   • C28:G28 &lt;= 150000          (annual budget ≤ ₹1.5L Cr)</t>
  </si>
  <si>
    <t xml:space="preserve">   • C33:G33 &gt;= 0               (no demand shortfall any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</si>
</sst>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%"/>
    <numFmt numFmtId="165" formatCode="0.0\%"/>
    <numFmt numFmtId="166" formatCode="0\%"/>
    <numFmt numFmtId="167" formatCode="0.0"/>
    <numFmt numFmtId="168" formatCode="0.0;\(0.0\)"/>
  </numFmts>
  <fonts count="36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i/>
      <sz val="11"/>
      <color rgb="FFFFFFFF"/>
      <name val="Arial"/>
      <family val="2"/>
    </font>
    <font>
      <b/>
      <sz val="11"/>
      <color rgb="FF1B2838"/>
      <name val="Arial"/>
      <family val="2"/>
    </font>
    <font>
      <b/>
      <sz val="10"/>
      <color rgb="FFFFFFFF"/>
      <name val="Arial"/>
      <family val="2"/>
    </font>
    <font>
      <b/>
      <sz val="9"/>
      <color rgb="FF1B2838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i/>
      <sz val="7.5"/>
      <color rgb="FF666666"/>
      <name val="Arial"/>
      <family val="2"/>
    </font>
    <font>
      <sz val="8"/>
      <color rgb="FF333333"/>
      <name val="Arial"/>
      <family val="2"/>
    </font>
    <font>
      <b/>
      <sz val="9"/>
      <color rgb="FF008000"/>
      <name val="Arial"/>
      <family val="2"/>
    </font>
    <font>
      <sz val="9"/>
      <color rgb="FF008000"/>
      <name val="Arial"/>
      <family val="2"/>
    </font>
    <font>
      <b/>
      <sz val="10"/>
      <color rgb="FF1B2838"/>
      <name val="Arial"/>
      <family val="2"/>
    </font>
    <font>
      <b/>
      <sz val="9"/>
      <name val="Arial"/>
      <family val="2"/>
    </font>
    <font>
      <b/>
      <sz val="10"/>
      <color rgb="FF008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E8A838"/>
      <name val="Arial"/>
      <family val="2"/>
    </font>
    <font>
      <b/>
      <sz val="8.5"/>
      <color rgb="FF333333"/>
      <name val="Arial"/>
      <family val="2"/>
    </font>
    <font>
      <b/>
      <sz val="8"/>
      <color rgb="FFFFFFFF"/>
      <name val="Arial"/>
      <family val="2"/>
    </font>
    <font>
      <b/>
      <sz val="11"/>
      <color rgb="FFE8A838"/>
      <name val="Arial"/>
      <family val="2"/>
    </font>
    <font>
      <b/>
      <sz val="9"/>
      <color rgb="FFFF0000"/>
      <name val="Arial"/>
      <family val="2"/>
    </font>
    <font>
      <sz val="9"/>
      <color rgb="FF333333"/>
      <name val="Arial"/>
      <family val="2"/>
    </font>
    <font>
      <b/>
      <sz val="12"/>
      <color rgb="FF1B2838"/>
      <name val="Arial"/>
      <family val="2"/>
    </font>
    <font>
      <i/>
      <sz val="7.5"/>
      <color rgb="FF666666"/>
      <name val="Arial"/>
      <family val="2"/>
    </font>
    <font>
      <b/>
      <sz val="10"/>
      <color rgb="FF1B2838"/>
      <name val="Arial"/>
      <family val="2"/>
    </font>
    <font>
      <b/>
      <sz val="10"/>
      <color rgb="FFFFFFFF"/>
      <name val="Arial"/>
      <family val="2"/>
    </font>
    <font>
      <b/>
      <sz val="9"/>
      <color rgb="FF1B2838"/>
      <name val="Arial"/>
      <family val="2"/>
    </font>
    <font>
      <sz val="9"/>
      <color rgb="FF0000FF"/>
      <name val="Arial"/>
      <family val="2"/>
    </font>
    <font>
      <b/>
      <sz val="9"/>
      <color rgb="FF2E4A6E"/>
      <name val="Arial"/>
      <family val="2"/>
    </font>
    <font>
      <i/>
      <sz val="8"/>
      <color rgb="FF666666"/>
      <name val="Arial"/>
      <family val="2"/>
    </font>
    <font>
      <sz val="9"/>
      <color rgb="FF000000"/>
      <name val="Arial"/>
      <family val="2"/>
    </font>
    <font>
      <b/>
      <sz val="9"/>
      <color rgb="FF008000"/>
      <name val="Arial"/>
      <family val="2"/>
    </font>
    <font>
      <b/>
      <sz val="10"/>
      <color rgb="FFE8A838"/>
      <name val="Arial"/>
      <family val="2"/>
    </font>
    <font>
      <b/>
      <sz val="11"/>
      <color theme="1"/>
      <name val="Arial Narrow"/>
      <family val="2"/>
    </font>
    <font>
      <b/>
      <sz val="7.5"/>
      <color rgb="FF666666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1B2838"/>
        <bgColor rgb="FF243447"/>
      </patternFill>
    </fill>
    <fill>
      <patternFill patternType="solid">
        <fgColor rgb="FF243447"/>
        <bgColor rgb="FF333333"/>
      </patternFill>
    </fill>
    <fill>
      <patternFill patternType="solid">
        <fgColor rgb="FFE8F4FD"/>
        <bgColor rgb="FFE8F1FE"/>
      </patternFill>
    </fill>
    <fill>
      <patternFill patternType="solid">
        <fgColor rgb="FF2E4A6E"/>
        <bgColor rgb="FF243447"/>
      </patternFill>
    </fill>
    <fill>
      <patternFill patternType="solid">
        <fgColor rgb="FFF0F4F8"/>
        <bgColor rgb="FFE8F4FD"/>
      </patternFill>
    </fill>
    <fill>
      <patternFill patternType="solid">
        <fgColor rgb="FFE8F1FE"/>
        <bgColor rgb="FFE8F0FE"/>
      </patternFill>
    </fill>
    <fill>
      <patternFill patternType="solid">
        <fgColor rgb="FFFFFFFF"/>
        <bgColor rgb="FFF9F9F9"/>
      </patternFill>
    </fill>
    <fill>
      <patternFill patternType="solid">
        <fgColor rgb="FFFFD54F"/>
        <bgColor rgb="FFFFB74D"/>
      </patternFill>
    </fill>
    <fill>
      <patternFill patternType="solid">
        <fgColor rgb="FF81D4FA"/>
        <bgColor rgb="FF4FC3F7"/>
      </patternFill>
    </fill>
    <fill>
      <patternFill patternType="solid">
        <fgColor rgb="FFBCAAA4"/>
        <bgColor rgb="FF93A9CE"/>
      </patternFill>
    </fill>
    <fill>
      <patternFill patternType="solid">
        <fgColor rgb="FFCE93D8"/>
        <bgColor rgb="FFBCAAA4"/>
      </patternFill>
    </fill>
    <fill>
      <patternFill patternType="solid">
        <fgColor rgb="FF4FC3F7"/>
        <bgColor rgb="FF42A5F5"/>
      </patternFill>
    </fill>
    <fill>
      <patternFill patternType="solid">
        <fgColor rgb="FFA5D6A7"/>
        <bgColor rgb="FFC8E6C9"/>
      </patternFill>
    </fill>
    <fill>
      <patternFill patternType="solid">
        <fgColor rgb="FFFFB74D"/>
        <bgColor rgb="FFE8A838"/>
      </patternFill>
    </fill>
    <fill>
      <patternFill patternType="solid">
        <fgColor rgb="FFC8E6C9"/>
        <bgColor rgb="FFD9D9D9"/>
      </patternFill>
    </fill>
    <fill>
      <patternFill patternType="solid">
        <fgColor rgb="FFFFF3CD"/>
        <bgColor rgb="FFFFF8DC"/>
      </patternFill>
    </fill>
    <fill>
      <patternFill patternType="solid">
        <fgColor rgb="FFE2F0D9"/>
        <bgColor rgb="FFF5F5DC"/>
      </patternFill>
    </fill>
    <fill>
      <patternFill patternType="solid">
        <fgColor rgb="FFE8F0FE"/>
        <bgColor rgb="FFE8F1FE"/>
      </patternFill>
    </fill>
    <fill>
      <patternFill patternType="solid">
        <fgColor rgb="FFE8A838"/>
        <bgColor rgb="FFFFB74D"/>
      </patternFill>
    </fill>
    <fill>
      <patternFill patternType="solid">
        <fgColor rgb="FFFFF8DC"/>
        <bgColor rgb="FFF5F5DC"/>
      </patternFill>
    </fill>
    <fill>
      <patternFill patternType="solid">
        <fgColor rgb="FFF5F5DC"/>
        <bgColor rgb="FFFFF8DC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2E4A6E"/>
      </patternFill>
    </fill>
    <fill>
      <patternFill patternType="solid">
        <fgColor rgb="FFFFD54F"/>
      </patternFill>
    </fill>
    <fill>
      <patternFill patternType="solid">
        <fgColor rgb="FF81D4FA"/>
      </patternFill>
    </fill>
    <fill>
      <patternFill patternType="solid">
        <fgColor rgb="FFBCAAA4"/>
      </patternFill>
    </fill>
    <fill>
      <patternFill patternType="solid">
        <fgColor rgb="FFCE93D8"/>
      </patternFill>
    </fill>
    <fill>
      <patternFill patternType="solid">
        <fgColor rgb="FF4FC3F7"/>
      </patternFill>
    </fill>
    <fill>
      <patternFill patternType="solid">
        <fgColor rgb="FFA5D6A7"/>
      </patternFill>
    </fill>
    <fill>
      <patternFill patternType="solid">
        <fgColor rgb="FFFFB74D"/>
      </patternFill>
    </fill>
    <fill>
      <patternFill patternType="solid">
        <fgColor rgb="FFE2F0D9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1B2838"/>
      </patternFill>
    </fill>
  </fills>
  <borders count="1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ck">
        <color rgb="FFB8860B"/>
      </left>
      <right style="thick">
        <color rgb="FFB8860B"/>
      </right>
      <top style="thick">
        <color rgb="FFB8860B"/>
      </top>
      <bottom style="thick">
        <color rgb="FFB8860B"/>
      </bottom>
      <diagonal/>
    </border>
    <border>
      <left style="thick">
        <color rgb="FF1B2838"/>
      </left>
      <right style="thick">
        <color rgb="FF1B2838"/>
      </right>
      <top style="thick">
        <color rgb="FF1B2838"/>
      </top>
      <bottom style="thick">
        <color rgb="FF1B2838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ck">
        <color rgb="FFB8860B"/>
      </top>
      <bottom style="thick">
        <color rgb="FFB8860B"/>
      </bottom>
      <diagonal/>
    </border>
    <border>
      <left/>
      <right style="thick">
        <color rgb="FFB8860B"/>
      </right>
      <top style="thick">
        <color rgb="FFB8860B"/>
      </top>
      <bottom style="thick">
        <color rgb="FFB8860B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ck">
        <color rgb="FF1B2838"/>
      </left>
      <right style="thick">
        <color rgb="FF1B2838"/>
      </right>
      <top style="thick">
        <color rgb="FF1B2838"/>
      </top>
      <bottom style="thick">
        <color rgb="FF1B2838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2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0" fontId="5" fillId="9" borderId="1" xfId="0" applyFont="1" applyFill="1" applyBorder="1"/>
    <xf numFmtId="167" fontId="7" fillId="8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/>
    <xf numFmtId="167" fontId="7" fillId="6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/>
    <xf numFmtId="0" fontId="5" fillId="12" borderId="1" xfId="0" applyFont="1" applyFill="1" applyBorder="1"/>
    <xf numFmtId="0" fontId="5" fillId="13" borderId="1" xfId="0" applyFont="1" applyFill="1" applyBorder="1"/>
    <xf numFmtId="0" fontId="5" fillId="14" borderId="1" xfId="0" applyFont="1" applyFill="1" applyBorder="1"/>
    <xf numFmtId="0" fontId="5" fillId="15" borderId="1" xfId="0" applyFont="1" applyFill="1" applyBorder="1"/>
    <xf numFmtId="0" fontId="4" fillId="2" borderId="1" xfId="0" applyFont="1" applyFill="1" applyBorder="1"/>
    <xf numFmtId="167" fontId="4" fillId="2" borderId="1" xfId="0" applyNumberFormat="1" applyFont="1" applyFill="1" applyBorder="1" applyAlignment="1">
      <alignment horizontal="center"/>
    </xf>
    <xf numFmtId="0" fontId="10" fillId="16" borderId="1" xfId="0" applyFont="1" applyFill="1" applyBorder="1"/>
    <xf numFmtId="167" fontId="10" fillId="16" borderId="1" xfId="0" applyNumberFormat="1" applyFont="1" applyFill="1" applyBorder="1" applyAlignment="1">
      <alignment horizontal="center"/>
    </xf>
    <xf numFmtId="167" fontId="6" fillId="17" borderId="1" xfId="0" applyNumberFormat="1" applyFont="1" applyFill="1" applyBorder="1" applyAlignment="1">
      <alignment horizontal="center"/>
    </xf>
    <xf numFmtId="167" fontId="11" fillId="18" borderId="1" xfId="0" applyNumberFormat="1" applyFon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center"/>
    </xf>
    <xf numFmtId="167" fontId="7" fillId="8" borderId="1" xfId="0" applyNumberFormat="1" applyFont="1" applyFill="1" applyBorder="1" applyAlignment="1">
      <alignment horizontal="center"/>
    </xf>
    <xf numFmtId="3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5" fillId="17" borderId="1" xfId="0" applyFont="1" applyFill="1" applyBorder="1"/>
    <xf numFmtId="3" fontId="12" fillId="17" borderId="1" xfId="0" applyNumberFormat="1" applyFont="1" applyFill="1" applyBorder="1" applyAlignment="1">
      <alignment horizontal="center"/>
    </xf>
    <xf numFmtId="0" fontId="5" fillId="19" borderId="1" xfId="0" applyFont="1" applyFill="1" applyBorder="1"/>
    <xf numFmtId="168" fontId="13" fillId="19" borderId="1" xfId="0" applyNumberFormat="1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/>
    </xf>
    <xf numFmtId="0" fontId="5" fillId="16" borderId="1" xfId="0" applyFont="1" applyFill="1" applyBorder="1"/>
    <xf numFmtId="167" fontId="14" fillId="16" borderId="1" xfId="0" applyNumberFormat="1" applyFont="1" applyFill="1" applyBorder="1" applyAlignment="1">
      <alignment horizontal="center"/>
    </xf>
    <xf numFmtId="0" fontId="7" fillId="16" borderId="1" xfId="0" applyFont="1" applyFill="1" applyBorder="1"/>
    <xf numFmtId="0" fontId="7" fillId="6" borderId="1" xfId="0" applyFont="1" applyFill="1" applyBorder="1"/>
    <xf numFmtId="0" fontId="7" fillId="8" borderId="1" xfId="0" applyFont="1" applyFill="1" applyBorder="1"/>
    <xf numFmtId="0" fontId="5" fillId="21" borderId="1" xfId="0" applyFont="1" applyFill="1" applyBorder="1"/>
    <xf numFmtId="3" fontId="7" fillId="21" borderId="1" xfId="0" applyNumberFormat="1" applyFont="1" applyFill="1" applyBorder="1" applyAlignment="1">
      <alignment horizontal="center"/>
    </xf>
    <xf numFmtId="0" fontId="16" fillId="2" borderId="3" xfId="0" applyFont="1" applyFill="1" applyBorder="1"/>
    <xf numFmtId="3" fontId="17" fillId="2" borderId="3" xfId="0" applyNumberFormat="1" applyFont="1" applyFill="1" applyBorder="1" applyAlignment="1">
      <alignment horizontal="center"/>
    </xf>
    <xf numFmtId="0" fontId="3" fillId="0" borderId="0" xfId="0" applyFont="1"/>
    <xf numFmtId="0" fontId="19" fillId="3" borderId="1" xfId="0" applyFont="1" applyFill="1" applyBorder="1" applyAlignment="1">
      <alignment horizontal="center"/>
    </xf>
    <xf numFmtId="3" fontId="20" fillId="2" borderId="1" xfId="0" applyNumberFormat="1" applyFont="1" applyFill="1" applyBorder="1" applyAlignment="1">
      <alignment horizontal="center"/>
    </xf>
    <xf numFmtId="167" fontId="20" fillId="2" borderId="1" xfId="0" applyNumberFormat="1" applyFont="1" applyFill="1" applyBorder="1" applyAlignment="1">
      <alignment horizontal="center"/>
    </xf>
    <xf numFmtId="167" fontId="11" fillId="6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167" fontId="11" fillId="8" borderId="1" xfId="0" applyNumberFormat="1" applyFont="1" applyFill="1" applyBorder="1" applyAlignment="1">
      <alignment horizontal="center"/>
    </xf>
    <xf numFmtId="164" fontId="7" fillId="8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3" fontId="11" fillId="6" borderId="1" xfId="0" applyNumberFormat="1" applyFont="1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1" fontId="7" fillId="8" borderId="1" xfId="0" applyNumberFormat="1" applyFont="1" applyFill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21" fillId="17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0" fontId="26" fillId="25" borderId="9" xfId="0" applyFont="1" applyFill="1" applyBorder="1" applyAlignment="1">
      <alignment horizontal="center" vertical="center"/>
    </xf>
    <xf numFmtId="0" fontId="27" fillId="26" borderId="9" xfId="0" applyFont="1" applyFill="1" applyBorder="1"/>
    <xf numFmtId="167" fontId="28" fillId="24" borderId="9" xfId="0" applyNumberFormat="1" applyFont="1" applyFill="1" applyBorder="1" applyAlignment="1">
      <alignment horizontal="center"/>
    </xf>
    <xf numFmtId="0" fontId="27" fillId="27" borderId="9" xfId="0" applyFont="1" applyFill="1" applyBorder="1"/>
    <xf numFmtId="0" fontId="27" fillId="28" borderId="9" xfId="0" applyFont="1" applyFill="1" applyBorder="1"/>
    <xf numFmtId="0" fontId="27" fillId="29" borderId="9" xfId="0" applyFont="1" applyFill="1" applyBorder="1"/>
    <xf numFmtId="0" fontId="27" fillId="30" borderId="9" xfId="0" applyFont="1" applyFill="1" applyBorder="1"/>
    <xf numFmtId="0" fontId="27" fillId="31" borderId="9" xfId="0" applyFont="1" applyFill="1" applyBorder="1"/>
    <xf numFmtId="0" fontId="27" fillId="32" borderId="9" xfId="0" applyFont="1" applyFill="1" applyBorder="1"/>
    <xf numFmtId="0" fontId="26" fillId="25" borderId="9" xfId="0" applyFont="1" applyFill="1" applyBorder="1" applyAlignment="1">
      <alignment horizontal="center"/>
    </xf>
    <xf numFmtId="0" fontId="30" fillId="34" borderId="9" xfId="0" applyFont="1" applyFill="1" applyBorder="1"/>
    <xf numFmtId="167" fontId="31" fillId="34" borderId="9" xfId="0" applyNumberFormat="1" applyFont="1" applyFill="1" applyBorder="1" applyAlignment="1">
      <alignment horizontal="center"/>
    </xf>
    <xf numFmtId="0" fontId="30" fillId="35" borderId="9" xfId="0" applyFont="1" applyFill="1" applyBorder="1"/>
    <xf numFmtId="167" fontId="31" fillId="35" borderId="9" xfId="0" applyNumberFormat="1" applyFont="1" applyFill="1" applyBorder="1" applyAlignment="1">
      <alignment horizontal="center"/>
    </xf>
    <xf numFmtId="0" fontId="27" fillId="36" borderId="9" xfId="0" applyFont="1" applyFill="1" applyBorder="1"/>
    <xf numFmtId="167" fontId="32" fillId="36" borderId="9" xfId="0" applyNumberFormat="1" applyFont="1" applyFill="1" applyBorder="1" applyAlignment="1">
      <alignment horizontal="center"/>
    </xf>
    <xf numFmtId="0" fontId="27" fillId="34" borderId="9" xfId="0" applyFont="1" applyFill="1" applyBorder="1"/>
    <xf numFmtId="0" fontId="27" fillId="35" borderId="9" xfId="0" applyFont="1" applyFill="1" applyBorder="1"/>
    <xf numFmtId="3" fontId="31" fillId="35" borderId="9" xfId="0" applyNumberFormat="1" applyFont="1" applyFill="1" applyBorder="1" applyAlignment="1">
      <alignment horizontal="center"/>
    </xf>
    <xf numFmtId="2" fontId="27" fillId="34" borderId="9" xfId="0" applyNumberFormat="1" applyFont="1" applyFill="1" applyBorder="1" applyAlignment="1">
      <alignment horizontal="center"/>
    </xf>
    <xf numFmtId="0" fontId="27" fillId="24" borderId="9" xfId="0" applyFont="1" applyFill="1" applyBorder="1"/>
    <xf numFmtId="0" fontId="31" fillId="24" borderId="9" xfId="0" applyFont="1" applyFill="1" applyBorder="1" applyAlignment="1">
      <alignment horizontal="center"/>
    </xf>
    <xf numFmtId="3" fontId="31" fillId="34" borderId="9" xfId="0" applyNumberFormat="1" applyFont="1" applyFill="1" applyBorder="1" applyAlignment="1">
      <alignment horizontal="center"/>
    </xf>
    <xf numFmtId="0" fontId="26" fillId="37" borderId="10" xfId="0" applyFont="1" applyFill="1" applyBorder="1"/>
    <xf numFmtId="3" fontId="33" fillId="37" borderId="10" xfId="0" applyNumberFormat="1" applyFont="1" applyFill="1" applyBorder="1" applyAlignment="1">
      <alignment horizontal="center"/>
    </xf>
    <xf numFmtId="0" fontId="35" fillId="0" borderId="1" xfId="0" applyFont="1" applyBorder="1"/>
    <xf numFmtId="0" fontId="10" fillId="16" borderId="0" xfId="0" applyFont="1" applyFill="1"/>
    <xf numFmtId="167" fontId="10" fillId="1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/>
    <xf numFmtId="0" fontId="0" fillId="0" borderId="5" xfId="0" applyBorder="1"/>
    <xf numFmtId="0" fontId="0" fillId="0" borderId="6" xfId="0" applyBorder="1"/>
    <xf numFmtId="0" fontId="25" fillId="33" borderId="9" xfId="0" applyFont="1" applyFill="1" applyBorder="1"/>
    <xf numFmtId="0" fontId="0" fillId="0" borderId="11" xfId="0" applyBorder="1"/>
    <xf numFmtId="0" fontId="0" fillId="0" borderId="12" xfId="0" applyBorder="1"/>
    <xf numFmtId="0" fontId="24" fillId="0" borderId="0" xfId="0" applyFont="1"/>
    <xf numFmtId="0" fontId="25" fillId="24" borderId="9" xfId="0" applyFont="1" applyFill="1" applyBorder="1"/>
    <xf numFmtId="0" fontId="29" fillId="33" borderId="9" xfId="0" applyFont="1" applyFill="1" applyBorder="1"/>
    <xf numFmtId="0" fontId="2" fillId="3" borderId="0" xfId="0" applyFont="1" applyFill="1" applyAlignment="1">
      <alignment horizontal="center" vertical="center"/>
    </xf>
    <xf numFmtId="0" fontId="23" fillId="23" borderId="9" xfId="0" applyFont="1" applyFill="1" applyBorder="1"/>
    <xf numFmtId="0" fontId="29" fillId="23" borderId="9" xfId="0" applyFont="1" applyFill="1" applyBorder="1"/>
    <xf numFmtId="0" fontId="35" fillId="0" borderId="0" xfId="0" applyFont="1"/>
    <xf numFmtId="0" fontId="34" fillId="0" borderId="0" xfId="0" applyFont="1"/>
    <xf numFmtId="0" fontId="8" fillId="0" borderId="0" xfId="0" applyFont="1"/>
    <xf numFmtId="0" fontId="9" fillId="22" borderId="4" xfId="0" applyFont="1" applyFill="1" applyBorder="1"/>
    <xf numFmtId="0" fontId="15" fillId="20" borderId="2" xfId="0" applyFont="1" applyFill="1" applyBorder="1"/>
    <xf numFmtId="0" fontId="0" fillId="0" borderId="7" xfId="0" applyBorder="1"/>
    <xf numFmtId="0" fontId="0" fillId="0" borderId="8" xfId="0" applyBorder="1"/>
    <xf numFmtId="0" fontId="18" fillId="22" borderId="4" xfId="0" applyFont="1" applyFill="1" applyBorder="1"/>
    <xf numFmtId="0" fontId="3" fillId="17" borderId="1" xfId="0" applyFont="1" applyFill="1" applyBorder="1"/>
    <xf numFmtId="0" fontId="2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29C858-5A61-4B33-95A1-12F460325EF4}"/>
  </tableStyles>
  <colors>
    <indexedColors>
      <rgbColor rgb="FF000000"/>
      <rgbColor rgb="FFFFFFFF"/>
      <rgbColor rgb="FFFF0000"/>
      <rgbColor rgb="FFF0F4F8"/>
      <rgbColor rgb="FF0000FF"/>
      <rgbColor rgb="FFF5F5DC"/>
      <rgbColor rgb="FFF9F9F9"/>
      <rgbColor rgb="FF5B8DB8"/>
      <rgbColor rgb="FF800000"/>
      <rgbColor rgb="FF008000"/>
      <rgbColor rgb="FF000080"/>
      <rgbColor rgb="FFB8860B"/>
      <rgbColor rgb="FF800080"/>
      <rgbColor rgb="FF1AACA0"/>
      <rgbColor rgb="FFBCAAA4"/>
      <rgbColor rgb="FF878787"/>
      <rgbColor rgb="FF93A9CE"/>
      <rgbColor rgb="FFAB4744"/>
      <rgbColor rgb="FFFFF8DC"/>
      <rgbColor rgb="FFE8F4FD"/>
      <rgbColor rgb="FF4F81BD"/>
      <rgbColor rgb="FFE57373"/>
      <rgbColor rgb="FF4672A8"/>
      <rgbColor rgb="FFD0D5DD"/>
      <rgbColor rgb="FF000080"/>
      <rgbColor rgb="FFFF00FF"/>
      <rgbColor rgb="FFC8E6C9"/>
      <rgbColor rgb="FFE8F0FE"/>
      <rgbColor rgb="FF800080"/>
      <rgbColor rgb="FF800000"/>
      <rgbColor rgb="FF4299B0"/>
      <rgbColor rgb="FF0000FF"/>
      <rgbColor rgb="FF42A5F5"/>
      <rgbColor rgb="FFE8F1FE"/>
      <rgbColor rgb="FFE2F0D9"/>
      <rgbColor rgb="FFFFF3CD"/>
      <rgbColor rgb="FF81D4FA"/>
      <rgbColor rgb="FFD9D9D9"/>
      <rgbColor rgb="FFCE93D8"/>
      <rgbColor rgb="FFFFD54F"/>
      <rgbColor rgb="FF4A7EBB"/>
      <rgbColor rgb="FF4FC3F7"/>
      <rgbColor rgb="FFA5D6A7"/>
      <rgbColor rgb="FFFFB74D"/>
      <rgbColor rgb="FFE8A838"/>
      <rgbColor rgb="FFDC853E"/>
      <rgbColor rgb="FF725990"/>
      <rgbColor rgb="FF8AA64F"/>
      <rgbColor rgb="FF243447"/>
      <rgbColor rgb="FF4CAF50"/>
      <rgbColor rgb="FF666666"/>
      <rgbColor rgb="FF1B2838"/>
      <rgbColor rgb="FFE53935"/>
      <rgbColor rgb="FFBE4B48"/>
      <rgbColor rgb="FF2E4A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India Installed Capacity by Source (2020–2025)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Solar PV</c:v>
          </c:tx>
          <c:spPr>
            <a:solidFill>
              <a:srgbClr val="FFD54F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'Baseline Capacity'!$C$6:$H$6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'Baseline Capacity'!$C$7:$H$7</c:f>
              <c:numCache>
                <c:formatCode>0.0</c:formatCode>
                <c:ptCount val="6"/>
                <c:pt idx="0">
                  <c:v>38</c:v>
                </c:pt>
                <c:pt idx="1">
                  <c:v>47</c:v>
                </c:pt>
                <c:pt idx="2">
                  <c:v>56</c:v>
                </c:pt>
                <c:pt idx="3">
                  <c:v>73</c:v>
                </c:pt>
                <c:pt idx="4">
                  <c:v>92</c:v>
                </c:pt>
                <c:pt idx="5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7-4235-A492-00BC5976ACBB}"/>
            </c:ext>
          </c:extLst>
        </c:ser>
        <c:ser>
          <c:idx val="1"/>
          <c:order val="1"/>
          <c:tx>
            <c:v>Onshore Wind</c:v>
          </c:tx>
          <c:spPr>
            <a:solidFill>
              <a:srgbClr val="81D4FA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'Baseline Capacity'!$C$6:$H$6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'Baseline Capacity'!$C$8:$H$8</c:f>
              <c:numCache>
                <c:formatCode>0.0</c:formatCode>
                <c:ptCount val="6"/>
                <c:pt idx="0">
                  <c:v>38.6</c:v>
                </c:pt>
                <c:pt idx="1">
                  <c:v>39.6</c:v>
                </c:pt>
                <c:pt idx="2">
                  <c:v>40.4</c:v>
                </c:pt>
                <c:pt idx="3">
                  <c:v>42.6</c:v>
                </c:pt>
                <c:pt idx="4">
                  <c:v>45.2</c:v>
                </c:pt>
                <c:pt idx="5">
                  <c:v>51.3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7-4235-A492-00BC5976ACBB}"/>
            </c:ext>
          </c:extLst>
        </c:ser>
        <c:ser>
          <c:idx val="2"/>
          <c:order val="2"/>
          <c:tx>
            <c:v>Coal</c:v>
          </c:tx>
          <c:spPr>
            <a:solidFill>
              <a:srgbClr val="BCAAA4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'Baseline Capacity'!$C$6:$H$6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'Baseline Capacity'!$C$9:$H$9</c:f>
              <c:numCache>
                <c:formatCode>0.0</c:formatCode>
                <c:ptCount val="6"/>
                <c:pt idx="0">
                  <c:v>206</c:v>
                </c:pt>
                <c:pt idx="1">
                  <c:v>211</c:v>
                </c:pt>
                <c:pt idx="2">
                  <c:v>214</c:v>
                </c:pt>
                <c:pt idx="3">
                  <c:v>217</c:v>
                </c:pt>
                <c:pt idx="4">
                  <c:v>219</c:v>
                </c:pt>
                <c:pt idx="5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7-4235-A492-00BC5976ACBB}"/>
            </c:ext>
          </c:extLst>
        </c:ser>
        <c:ser>
          <c:idx val="3"/>
          <c:order val="3"/>
          <c:tx>
            <c:v>Gas (CCGT)</c:v>
          </c:tx>
          <c:spPr>
            <a:solidFill>
              <a:srgbClr val="CE93D8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'Baseline Capacity'!$C$6:$H$6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'Baseline Capacity'!$C$10:$H$10</c:f>
              <c:numCache>
                <c:formatCode>0.0</c:formatCode>
                <c:ptCount val="6"/>
                <c:pt idx="0">
                  <c:v>24.8</c:v>
                </c:pt>
                <c:pt idx="1">
                  <c:v>25</c:v>
                </c:pt>
                <c:pt idx="2">
                  <c:v>25.2</c:v>
                </c:pt>
                <c:pt idx="3">
                  <c:v>25.1</c:v>
                </c:pt>
                <c:pt idx="4">
                  <c:v>24.8</c:v>
                </c:pt>
                <c:pt idx="5">
                  <c:v>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7-4235-A492-00BC5976ACBB}"/>
            </c:ext>
          </c:extLst>
        </c:ser>
        <c:ser>
          <c:idx val="4"/>
          <c:order val="4"/>
          <c:tx>
            <c:v>Large Hydro</c:v>
          </c:tx>
          <c:spPr>
            <a:solidFill>
              <a:srgbClr val="4FC3F7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'Baseline Capacity'!$C$6:$H$6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'Baseline Capacity'!$C$11:$H$11</c:f>
              <c:numCache>
                <c:formatCode>0.0</c:formatCode>
                <c:ptCount val="6"/>
                <c:pt idx="0">
                  <c:v>45.7</c:v>
                </c:pt>
                <c:pt idx="1">
                  <c:v>46.3</c:v>
                </c:pt>
                <c:pt idx="2">
                  <c:v>46.8</c:v>
                </c:pt>
                <c:pt idx="3">
                  <c:v>47</c:v>
                </c:pt>
                <c:pt idx="4">
                  <c:v>47.5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D7-4235-A492-00BC5976ACBB}"/>
            </c:ext>
          </c:extLst>
        </c:ser>
        <c:ser>
          <c:idx val="5"/>
          <c:order val="5"/>
          <c:tx>
            <c:v>Nuclear</c:v>
          </c:tx>
          <c:spPr>
            <a:solidFill>
              <a:srgbClr val="A5D6A7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'Baseline Capacity'!$C$6:$H$6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'Baseline Capacity'!$C$12:$H$12</c:f>
              <c:numCache>
                <c:formatCode>0.0</c:formatCode>
                <c:ptCount val="6"/>
                <c:pt idx="0">
                  <c:v>6.8</c:v>
                </c:pt>
                <c:pt idx="1">
                  <c:v>6.8</c:v>
                </c:pt>
                <c:pt idx="2">
                  <c:v>6.8</c:v>
                </c:pt>
                <c:pt idx="3">
                  <c:v>7.5</c:v>
                </c:pt>
                <c:pt idx="4">
                  <c:v>7.5</c:v>
                </c:pt>
                <c:pt idx="5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D7-4235-A492-00BC5976ACBB}"/>
            </c:ext>
          </c:extLst>
        </c:ser>
        <c:ser>
          <c:idx val="6"/>
          <c:order val="6"/>
          <c:tx>
            <c:v>BESS</c:v>
          </c:tx>
          <c:spPr>
            <a:solidFill>
              <a:srgbClr val="FFB74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'Baseline Capacity'!$C$6:$H$6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'Baseline Capacity'!$C$13:$H$13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0.22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D7-4235-A492-00BC5976A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274837"/>
        <c:axId val="78784386"/>
      </c:barChart>
      <c:catAx>
        <c:axId val="56274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84386"/>
        <c:crosses val="autoZero"/>
        <c:auto val="1"/>
        <c:lblAlgn val="ctr"/>
        <c:lblOffset val="100"/>
        <c:noMultiLvlLbl val="0"/>
      </c:catAx>
      <c:valAx>
        <c:axId val="78784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Capacity (GW)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7483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2030 Capacity Mix by Technology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'Results &amp; Charts'!$C$9</c:f>
              <c:strCache>
                <c:ptCount val="1"/>
                <c:pt idx="0">
                  <c:v>Capacity (GW)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0FED-4D4C-97B9-90E6201FC2B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0FED-4D4C-97B9-90E6201FC2B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0FED-4D4C-97B9-90E6201FC2B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0FED-4D4C-97B9-90E6201FC2B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0FED-4D4C-97B9-90E6201FC2B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0FED-4D4C-97B9-90E6201FC2B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0FED-4D4C-97B9-90E6201FC2B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FED-4D4C-97B9-90E6201FC2B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FED-4D4C-97B9-90E6201FC2B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FED-4D4C-97B9-90E6201FC2B4}"/>
                </c:ext>
              </c:extLst>
            </c:dLbl>
            <c:dLbl>
              <c:idx val="3"/>
              <c:layout>
                <c:manualLayout>
                  <c:x val="0"/>
                  <c:y val="0.54183159064504727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ED-4D4C-97B9-90E6201FC2B4}"/>
                </c:ext>
              </c:extLst>
            </c:dLbl>
            <c:dLbl>
              <c:idx val="4"/>
              <c:layout>
                <c:manualLayout>
                  <c:x val="0.5054637584677012"/>
                  <c:y val="0.67307431832142839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8FDBED39-FE92-4701-A61D-8F1BFC9A7C16}" type="SERIESNAME">
                      <a:rPr lang="en-US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baseline="0"/>
                      <a:t>, </a:t>
                    </a:r>
                  </a:p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E5492422-34B3-4D42-8F27-B81EAA57D744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01FE9914-9352-40DB-9211-D4B97AD656B0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FED-4D4C-97B9-90E6201FC2B4}"/>
                </c:ext>
              </c:extLst>
            </c:dLbl>
            <c:dLbl>
              <c:idx val="5"/>
              <c:layout>
                <c:manualLayout>
                  <c:x val="-2.9739701958742759E-2"/>
                  <c:y val="3.4279129035369608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ED-4D4C-97B9-90E6201FC2B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0FED-4D4C-97B9-90E6201FC2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'Results &amp; Charts'!$B$10:$B$16</c:f>
              <c:strCache>
                <c:ptCount val="7"/>
                <c:pt idx="0">
                  <c:v>Solar PV</c:v>
                </c:pt>
                <c:pt idx="1">
                  <c:v>Onshore Wind</c:v>
                </c:pt>
                <c:pt idx="2">
                  <c:v>Coal (Super-Critical)</c:v>
                </c:pt>
                <c:pt idx="3">
                  <c:v>Gas (CCGT)</c:v>
                </c:pt>
                <c:pt idx="4">
                  <c:v>Large Hydro</c:v>
                </c:pt>
                <c:pt idx="5">
                  <c:v>Nuclear</c:v>
                </c:pt>
                <c:pt idx="6">
                  <c:v>BESS (4-hr)</c:v>
                </c:pt>
              </c:strCache>
            </c:strRef>
          </c:cat>
          <c:val>
            <c:numRef>
              <c:f>'Results &amp; Charts'!$C$10:$C$16</c:f>
              <c:numCache>
                <c:formatCode>0.0</c:formatCode>
                <c:ptCount val="7"/>
                <c:pt idx="0">
                  <c:v>268</c:v>
                </c:pt>
                <c:pt idx="1">
                  <c:v>96.3</c:v>
                </c:pt>
                <c:pt idx="2">
                  <c:v>238</c:v>
                </c:pt>
                <c:pt idx="3">
                  <c:v>34.5</c:v>
                </c:pt>
                <c:pt idx="4">
                  <c:v>56</c:v>
                </c:pt>
                <c:pt idx="5">
                  <c:v>11.8</c:v>
                </c:pt>
                <c:pt idx="6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ED-4D4C-97B9-90E6201FC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India Capacity Expansion Roadmap (2025–2030)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Solar PV</c:v>
          </c:tx>
          <c:spPr>
            <a:solidFill>
              <a:srgbClr val="FFD54F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Charts'!$C$20:$H$20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'Results &amp; Charts'!$C$21:$H$21</c:f>
              <c:numCache>
                <c:formatCode>0.0</c:formatCode>
                <c:ptCount val="6"/>
                <c:pt idx="0">
                  <c:v>111</c:v>
                </c:pt>
                <c:pt idx="1">
                  <c:v>139</c:v>
                </c:pt>
                <c:pt idx="2">
                  <c:v>169</c:v>
                </c:pt>
                <c:pt idx="3">
                  <c:v>201</c:v>
                </c:pt>
                <c:pt idx="4">
                  <c:v>234</c:v>
                </c:pt>
                <c:pt idx="5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0-4EB9-ACD9-8195A73CFEFC}"/>
            </c:ext>
          </c:extLst>
        </c:ser>
        <c:ser>
          <c:idx val="1"/>
          <c:order val="1"/>
          <c:tx>
            <c:v>Onshore Wind</c:v>
          </c:tx>
          <c:spPr>
            <a:solidFill>
              <a:srgbClr val="81D4FA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Charts'!$C$20:$H$20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'Results &amp; Charts'!$C$22:$H$22</c:f>
              <c:numCache>
                <c:formatCode>0.0</c:formatCode>
                <c:ptCount val="6"/>
                <c:pt idx="0">
                  <c:v>51.3</c:v>
                </c:pt>
                <c:pt idx="1">
                  <c:v>58.3</c:v>
                </c:pt>
                <c:pt idx="2">
                  <c:v>66.3</c:v>
                </c:pt>
                <c:pt idx="3">
                  <c:v>75.3</c:v>
                </c:pt>
                <c:pt idx="4">
                  <c:v>85.3</c:v>
                </c:pt>
                <c:pt idx="5">
                  <c:v>96.3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0-4EB9-ACD9-8195A73CFEFC}"/>
            </c:ext>
          </c:extLst>
        </c:ser>
        <c:ser>
          <c:idx val="2"/>
          <c:order val="2"/>
          <c:tx>
            <c:v>Coal (Super-Critical)</c:v>
          </c:tx>
          <c:spPr>
            <a:solidFill>
              <a:srgbClr val="BCAAA4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Charts'!$C$20:$H$20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'Results &amp; Charts'!$C$23:$H$23</c:f>
              <c:numCache>
                <c:formatCode>0.0</c:formatCode>
                <c:ptCount val="6"/>
                <c:pt idx="0">
                  <c:v>221</c:v>
                </c:pt>
                <c:pt idx="1">
                  <c:v>225</c:v>
                </c:pt>
                <c:pt idx="2">
                  <c:v>229</c:v>
                </c:pt>
                <c:pt idx="3">
                  <c:v>232</c:v>
                </c:pt>
                <c:pt idx="4">
                  <c:v>235</c:v>
                </c:pt>
                <c:pt idx="5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0-4EB9-ACD9-8195A73CFEFC}"/>
            </c:ext>
          </c:extLst>
        </c:ser>
        <c:ser>
          <c:idx val="3"/>
          <c:order val="3"/>
          <c:tx>
            <c:v>Gas (CCGT)</c:v>
          </c:tx>
          <c:spPr>
            <a:solidFill>
              <a:srgbClr val="CE93D8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Charts'!$C$20:$H$20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'Results &amp; Charts'!$C$24:$H$24</c:f>
              <c:numCache>
                <c:formatCode>0.0</c:formatCode>
                <c:ptCount val="6"/>
                <c:pt idx="0">
                  <c:v>24.5</c:v>
                </c:pt>
                <c:pt idx="1">
                  <c:v>26.5</c:v>
                </c:pt>
                <c:pt idx="2">
                  <c:v>28.5</c:v>
                </c:pt>
                <c:pt idx="3">
                  <c:v>30.5</c:v>
                </c:pt>
                <c:pt idx="4">
                  <c:v>32.5</c:v>
                </c:pt>
                <c:pt idx="5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90-4EB9-ACD9-8195A73CFEFC}"/>
            </c:ext>
          </c:extLst>
        </c:ser>
        <c:ser>
          <c:idx val="4"/>
          <c:order val="4"/>
          <c:tx>
            <c:v>Large Hydro</c:v>
          </c:tx>
          <c:spPr>
            <a:solidFill>
              <a:srgbClr val="4FC3F7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Charts'!$C$20:$H$20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'Results &amp; Charts'!$C$25:$H$25</c:f>
              <c:numCache>
                <c:formatCode>0.0</c:formatCode>
                <c:ptCount val="6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52</c:v>
                </c:pt>
                <c:pt idx="4">
                  <c:v>54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90-4EB9-ACD9-8195A73CFEFC}"/>
            </c:ext>
          </c:extLst>
        </c:ser>
        <c:ser>
          <c:idx val="5"/>
          <c:order val="5"/>
          <c:tx>
            <c:v>Nuclear</c:v>
          </c:tx>
          <c:spPr>
            <a:solidFill>
              <a:srgbClr val="A5D6A7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Charts'!$C$20:$H$20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'Results &amp; Charts'!$C$26:$H$26</c:f>
              <c:numCache>
                <c:formatCode>0.0</c:formatCode>
                <c:ptCount val="6"/>
                <c:pt idx="0">
                  <c:v>8.8000000000000007</c:v>
                </c:pt>
                <c:pt idx="1">
                  <c:v>8.8000000000000007</c:v>
                </c:pt>
                <c:pt idx="2">
                  <c:v>8.8000000000000007</c:v>
                </c:pt>
                <c:pt idx="3">
                  <c:v>9.8000000000000007</c:v>
                </c:pt>
                <c:pt idx="4">
                  <c:v>10.8</c:v>
                </c:pt>
                <c:pt idx="5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90-4EB9-ACD9-8195A73CFEFC}"/>
            </c:ext>
          </c:extLst>
        </c:ser>
        <c:ser>
          <c:idx val="6"/>
          <c:order val="6"/>
          <c:tx>
            <c:v>BESS (4-hr)</c:v>
          </c:tx>
          <c:spPr>
            <a:solidFill>
              <a:srgbClr val="FFB74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Charts'!$C$20:$H$20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'Results &amp; Charts'!$C$27:$H$27</c:f>
              <c:numCache>
                <c:formatCode>0.0</c:formatCode>
                <c:ptCount val="6"/>
                <c:pt idx="0">
                  <c:v>0.5</c:v>
                </c:pt>
                <c:pt idx="1">
                  <c:v>8.5</c:v>
                </c:pt>
                <c:pt idx="2">
                  <c:v>18.5</c:v>
                </c:pt>
                <c:pt idx="3">
                  <c:v>30.5</c:v>
                </c:pt>
                <c:pt idx="4">
                  <c:v>43.5</c:v>
                </c:pt>
                <c:pt idx="5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90-4EB9-ACD9-8195A73CF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797791"/>
        <c:axId val="16779527"/>
      </c:barChart>
      <c:catAx>
        <c:axId val="3879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79527"/>
        <c:crosses val="autoZero"/>
        <c:auto val="1"/>
        <c:lblAlgn val="ctr"/>
        <c:lblOffset val="100"/>
        <c:noMultiLvlLbl val="0"/>
      </c:catAx>
      <c:valAx>
        <c:axId val="16779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Capacity (GW)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79779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Annual Capex &amp; CO₂ Emissions (2026–2030)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Annual Capex (₹ Cr)</c:v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Charts'!$C$34:$G$34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'Results &amp; Charts'!$C$35:$G$35</c:f>
              <c:numCache>
                <c:formatCode>#,##0</c:formatCode>
                <c:ptCount val="5"/>
                <c:pt idx="0">
                  <c:v>231400</c:v>
                </c:pt>
                <c:pt idx="1">
                  <c:v>250600</c:v>
                </c:pt>
                <c:pt idx="2">
                  <c:v>324300.00000000006</c:v>
                </c:pt>
                <c:pt idx="3">
                  <c:v>336500</c:v>
                </c:pt>
                <c:pt idx="4">
                  <c:v>348700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B1-4F55-9D4C-22369E9B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34484179"/>
        <c:axId val="15972820"/>
      </c:lineChart>
      <c:lineChart>
        <c:grouping val="standard"/>
        <c:varyColors val="0"/>
        <c:ser>
          <c:idx val="1"/>
          <c:order val="1"/>
          <c:tx>
            <c:v>CO₂ Emissions (Mt)</c:v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'Results &amp; Charts'!$C$34:$G$34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'Results &amp; Charts'!$C$36:$G$36</c:f>
              <c:numCache>
                <c:formatCode>0.0</c:formatCode>
                <c:ptCount val="5"/>
                <c:pt idx="0">
                  <c:v>1196.69265</c:v>
                </c:pt>
                <c:pt idx="1">
                  <c:v>1221.28197</c:v>
                </c:pt>
                <c:pt idx="2">
                  <c:v>1240.80801</c:v>
                </c:pt>
                <c:pt idx="3">
                  <c:v>1260.3340499999999</c:v>
                </c:pt>
                <c:pt idx="4">
                  <c:v>1279.8600899999999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B1-4F55-9D4C-22369E9B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67753866"/>
        <c:axId val="63467237"/>
      </c:lineChart>
      <c:catAx>
        <c:axId val="34484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72820"/>
        <c:crosses val="autoZero"/>
        <c:auto val="1"/>
        <c:lblAlgn val="ctr"/>
        <c:lblOffset val="100"/>
        <c:noMultiLvlLbl val="0"/>
      </c:catAx>
      <c:valAx>
        <c:axId val="15972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Capex (₹ Cr)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84179"/>
        <c:crosses val="autoZero"/>
        <c:crossBetween val="between"/>
      </c:valAx>
      <c:catAx>
        <c:axId val="67753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67237"/>
        <c:crosses val="autoZero"/>
        <c:auto val="1"/>
        <c:lblAlgn val="ctr"/>
        <c:lblOffset val="100"/>
        <c:noMultiLvlLbl val="0"/>
      </c:catAx>
      <c:valAx>
        <c:axId val="6346723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CO₂ (Mt)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53866"/>
        <c:crosses val="max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2030 Capacity by Technology Across Scenarios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Analysis'!$C$20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'Scenario Analysis'!$B$21:$B$27</c:f>
              <c:strCache>
                <c:ptCount val="7"/>
                <c:pt idx="0">
                  <c:v>Solar</c:v>
                </c:pt>
                <c:pt idx="1">
                  <c:v>Wind</c:v>
                </c:pt>
                <c:pt idx="2">
                  <c:v>Coal</c:v>
                </c:pt>
                <c:pt idx="3">
                  <c:v>Gas</c:v>
                </c:pt>
                <c:pt idx="4">
                  <c:v>Hydro</c:v>
                </c:pt>
                <c:pt idx="5">
                  <c:v>Nuclear</c:v>
                </c:pt>
                <c:pt idx="6">
                  <c:v>BESS</c:v>
                </c:pt>
              </c:strCache>
            </c:strRef>
          </c:cat>
          <c:val>
            <c:numRef>
              <c:f>'Scenario Analysis'!$C$21:$C$27</c:f>
              <c:numCache>
                <c:formatCode>General</c:formatCode>
                <c:ptCount val="7"/>
                <c:pt idx="0">
                  <c:v>268</c:v>
                </c:pt>
                <c:pt idx="1">
                  <c:v>96</c:v>
                </c:pt>
                <c:pt idx="2">
                  <c:v>238</c:v>
                </c:pt>
                <c:pt idx="3">
                  <c:v>34</c:v>
                </c:pt>
                <c:pt idx="4">
                  <c:v>56</c:v>
                </c:pt>
                <c:pt idx="5">
                  <c:v>12</c:v>
                </c:pt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E-4CF8-B0E7-2CC5B76A3A03}"/>
            </c:ext>
          </c:extLst>
        </c:ser>
        <c:ser>
          <c:idx val="1"/>
          <c:order val="1"/>
          <c:tx>
            <c:strRef>
              <c:f>'Scenario Analysis'!$D$20</c:f>
              <c:strCache>
                <c:ptCount val="1"/>
                <c:pt idx="0">
                  <c:v>High-RE</c:v>
                </c:pt>
              </c:strCache>
            </c:strRef>
          </c:tx>
          <c:spPr>
            <a:solidFill>
              <a:srgbClr val="4CAF5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'Scenario Analysis'!$B$21:$B$27</c:f>
              <c:strCache>
                <c:ptCount val="7"/>
                <c:pt idx="0">
                  <c:v>Solar</c:v>
                </c:pt>
                <c:pt idx="1">
                  <c:v>Wind</c:v>
                </c:pt>
                <c:pt idx="2">
                  <c:v>Coal</c:v>
                </c:pt>
                <c:pt idx="3">
                  <c:v>Gas</c:v>
                </c:pt>
                <c:pt idx="4">
                  <c:v>Hydro</c:v>
                </c:pt>
                <c:pt idx="5">
                  <c:v>Nuclear</c:v>
                </c:pt>
                <c:pt idx="6">
                  <c:v>BESS</c:v>
                </c:pt>
              </c:strCache>
            </c:strRef>
          </c:cat>
          <c:val>
            <c:numRef>
              <c:f>'Scenario Analysis'!$D$21:$D$27</c:f>
              <c:numCache>
                <c:formatCode>General</c:formatCode>
                <c:ptCount val="7"/>
                <c:pt idx="0">
                  <c:v>320</c:v>
                </c:pt>
                <c:pt idx="1">
                  <c:v>130</c:v>
                </c:pt>
                <c:pt idx="2">
                  <c:v>221</c:v>
                </c:pt>
                <c:pt idx="3">
                  <c:v>24</c:v>
                </c:pt>
                <c:pt idx="4">
                  <c:v>60</c:v>
                </c:pt>
                <c:pt idx="5">
                  <c:v>15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E-4CF8-B0E7-2CC5B76A3A03}"/>
            </c:ext>
          </c:extLst>
        </c:ser>
        <c:ser>
          <c:idx val="2"/>
          <c:order val="2"/>
          <c:tx>
            <c:strRef>
              <c:f>'Scenario Analysis'!$E$20</c:f>
              <c:strCache>
                <c:ptCount val="1"/>
                <c:pt idx="0">
                  <c:v>Coal-Heavy</c:v>
                </c:pt>
              </c:strCache>
            </c:strRef>
          </c:tx>
          <c:spPr>
            <a:solidFill>
              <a:srgbClr val="E57373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'Scenario Analysis'!$B$21:$B$27</c:f>
              <c:strCache>
                <c:ptCount val="7"/>
                <c:pt idx="0">
                  <c:v>Solar</c:v>
                </c:pt>
                <c:pt idx="1">
                  <c:v>Wind</c:v>
                </c:pt>
                <c:pt idx="2">
                  <c:v>Coal</c:v>
                </c:pt>
                <c:pt idx="3">
                  <c:v>Gas</c:v>
                </c:pt>
                <c:pt idx="4">
                  <c:v>Hydro</c:v>
                </c:pt>
                <c:pt idx="5">
                  <c:v>Nuclear</c:v>
                </c:pt>
                <c:pt idx="6">
                  <c:v>BESS</c:v>
                </c:pt>
              </c:strCache>
            </c:strRef>
          </c:cat>
          <c:val>
            <c:numRef>
              <c:f>'Scenario Analysis'!$E$21:$E$27</c:f>
              <c:numCache>
                <c:formatCode>General</c:formatCode>
                <c:ptCount val="7"/>
                <c:pt idx="0">
                  <c:v>180</c:v>
                </c:pt>
                <c:pt idx="1">
                  <c:v>65</c:v>
                </c:pt>
                <c:pt idx="2">
                  <c:v>260</c:v>
                </c:pt>
                <c:pt idx="3">
                  <c:v>40</c:v>
                </c:pt>
                <c:pt idx="4">
                  <c:v>50</c:v>
                </c:pt>
                <c:pt idx="5">
                  <c:v>10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2E-4CF8-B0E7-2CC5B76A3A03}"/>
            </c:ext>
          </c:extLst>
        </c:ser>
        <c:ser>
          <c:idx val="3"/>
          <c:order val="3"/>
          <c:tx>
            <c:strRef>
              <c:f>'Scenario Analysis'!$F$20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rgbClr val="42A5F5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'Scenario Analysis'!$B$21:$B$27</c:f>
              <c:strCache>
                <c:ptCount val="7"/>
                <c:pt idx="0">
                  <c:v>Solar</c:v>
                </c:pt>
                <c:pt idx="1">
                  <c:v>Wind</c:v>
                </c:pt>
                <c:pt idx="2">
                  <c:v>Coal</c:v>
                </c:pt>
                <c:pt idx="3">
                  <c:v>Gas</c:v>
                </c:pt>
                <c:pt idx="4">
                  <c:v>Hydro</c:v>
                </c:pt>
                <c:pt idx="5">
                  <c:v>Nuclear</c:v>
                </c:pt>
                <c:pt idx="6">
                  <c:v>BESS</c:v>
                </c:pt>
              </c:strCache>
            </c:strRef>
          </c:cat>
          <c:val>
            <c:numRef>
              <c:f>'Scenario Analysis'!$F$21:$F$27</c:f>
              <c:numCache>
                <c:formatCode>General</c:formatCode>
                <c:ptCount val="7"/>
                <c:pt idx="0">
                  <c:v>240</c:v>
                </c:pt>
                <c:pt idx="1">
                  <c:v>105</c:v>
                </c:pt>
                <c:pt idx="2">
                  <c:v>232</c:v>
                </c:pt>
                <c:pt idx="3">
                  <c:v>35</c:v>
                </c:pt>
                <c:pt idx="4">
                  <c:v>55</c:v>
                </c:pt>
                <c:pt idx="5">
                  <c:v>13</c:v>
                </c:pt>
                <c:pt idx="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2E-4CF8-B0E7-2CC5B76A3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51685"/>
        <c:axId val="46838781"/>
      </c:barChart>
      <c:catAx>
        <c:axId val="30051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838781"/>
        <c:crosses val="autoZero"/>
        <c:auto val="1"/>
        <c:lblAlgn val="ctr"/>
        <c:lblOffset val="100"/>
        <c:noMultiLvlLbl val="0"/>
      </c:catAx>
      <c:valAx>
        <c:axId val="46838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Capacity (GW)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5168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5-Year Capex by Scenario (₹ Lakh Cr)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'Scenario Analysis'!$C$31</c:f>
              <c:strCache>
                <c:ptCount val="1"/>
                <c:pt idx="0">
                  <c:v>Total Capex
(₹ Lakh Cr)</c:v>
                </c:pt>
              </c:strCache>
            </c:strRef>
          </c:tx>
          <c:spPr>
            <a:solidFill>
              <a:srgbClr val="E8A838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'Scenario Analysis'!$B$32:$B$35</c:f>
              <c:strCache>
                <c:ptCount val="4"/>
                <c:pt idx="0">
                  <c:v>Base Case</c:v>
                </c:pt>
                <c:pt idx="1">
                  <c:v>High-RE</c:v>
                </c:pt>
                <c:pt idx="2">
                  <c:v>Coal-Heavy</c:v>
                </c:pt>
                <c:pt idx="3">
                  <c:v>Balanced</c:v>
                </c:pt>
              </c:strCache>
            </c:strRef>
          </c:cat>
          <c:val>
            <c:numRef>
              <c:f>'Scenario Analysis'!$C$32:$C$35</c:f>
              <c:numCache>
                <c:formatCode>0.0</c:formatCode>
                <c:ptCount val="4"/>
                <c:pt idx="0">
                  <c:v>5.8</c:v>
                </c:pt>
                <c:pt idx="1">
                  <c:v>7.2</c:v>
                </c:pt>
                <c:pt idx="2">
                  <c:v>4.0999999999999996</c:v>
                </c:pt>
                <c:pt idx="3">
                  <c:v>5.2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D3-4672-B224-E2D343257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 Lakh Crore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CO₂ Emissions 2030 by Scenario (Mt)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'Scenario Analysis'!$D$31</c:f>
              <c:strCache>
                <c:ptCount val="1"/>
                <c:pt idx="0">
                  <c:v>CO₂ 2030
(Mt)</c:v>
                </c:pt>
              </c:strCache>
            </c:strRef>
          </c:tx>
          <c:spPr>
            <a:solidFill>
              <a:srgbClr val="E5393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'Scenario Analysis'!$B$32:$B$35</c:f>
              <c:strCache>
                <c:ptCount val="4"/>
                <c:pt idx="0">
                  <c:v>Base Case</c:v>
                </c:pt>
                <c:pt idx="1">
                  <c:v>High-RE</c:v>
                </c:pt>
                <c:pt idx="2">
                  <c:v>Coal-Heavy</c:v>
                </c:pt>
                <c:pt idx="3">
                  <c:v>Balanced</c:v>
                </c:pt>
              </c:strCache>
            </c:strRef>
          </c:cat>
          <c:val>
            <c:numRef>
              <c:f>'Scenario Analysis'!$D$32:$D$35</c:f>
              <c:numCache>
                <c:formatCode>0</c:formatCode>
                <c:ptCount val="4"/>
                <c:pt idx="0">
                  <c:v>195</c:v>
                </c:pt>
                <c:pt idx="1">
                  <c:v>165</c:v>
                </c:pt>
                <c:pt idx="2">
                  <c:v>230</c:v>
                </c:pt>
                <c:pt idx="3">
                  <c:v>185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33-4757-AE7D-907D0D4B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6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Megatonnes CO₂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495300</xdr:colOff>
      <xdr:row>4</xdr:row>
      <xdr:rowOff>38100</xdr:rowOff>
    </xdr:from>
    <xdr:to>
      <xdr:col>20</xdr:col>
      <xdr:colOff>248265</xdr:colOff>
      <xdr:row>24</xdr:row>
      <xdr:rowOff>187500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238125</xdr:colOff>
      <xdr:row>4</xdr:row>
      <xdr:rowOff>170890</xdr:rowOff>
    </xdr:from>
    <xdr:to>
      <xdr:col>19</xdr:col>
      <xdr:colOff>422461</xdr:colOff>
      <xdr:row>29</xdr:row>
      <xdr:rowOff>168089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959784</xdr:colOff>
      <xdr:row>31</xdr:row>
      <xdr:rowOff>22411</xdr:rowOff>
    </xdr:from>
    <xdr:to>
      <xdr:col>20</xdr:col>
      <xdr:colOff>0</xdr:colOff>
      <xdr:row>55</xdr:row>
      <xdr:rowOff>145676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23533</xdr:colOff>
      <xdr:row>38</xdr:row>
      <xdr:rowOff>35856</xdr:rowOff>
    </xdr:from>
    <xdr:to>
      <xdr:col>7</xdr:col>
      <xdr:colOff>747433</xdr:colOff>
      <xdr:row>58</xdr:row>
      <xdr:rowOff>169206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149599</xdr:colOff>
      <xdr:row>2</xdr:row>
      <xdr:rowOff>114300</xdr:rowOff>
    </xdr:from>
    <xdr:to>
      <xdr:col>21</xdr:col>
      <xdr:colOff>39858</xdr:colOff>
      <xdr:row>25</xdr:row>
      <xdr:rowOff>174315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428625</xdr:colOff>
      <xdr:row>41</xdr:row>
      <xdr:rowOff>85725</xdr:rowOff>
    </xdr:from>
    <xdr:ext cx="3900900" cy="5591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476250</xdr:colOff>
      <xdr:row>41</xdr:row>
      <xdr:rowOff>66675</xdr:rowOff>
    </xdr:from>
    <xdr:ext cx="4048125" cy="56197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A838"/>
  </sheetPr>
  <dimension ref="B1:M31"/>
  <sheetViews>
    <sheetView showGridLines="0" zoomScaleNormal="100" workbookViewId="0">
      <selection activeCell="T4" sqref="T4"/>
    </sheetView>
  </sheetViews>
  <sheetFormatPr defaultColWidth="8.7109375" defaultRowHeight="15" x14ac:dyDescent="0.25"/>
  <cols>
    <col min="1" max="1" width="1.85546875" customWidth="1"/>
    <col min="2" max="2" width="42" customWidth="1"/>
    <col min="3" max="13" width="14" customWidth="1"/>
  </cols>
  <sheetData>
    <row r="1" spans="2:13" ht="37.5" customHeight="1" x14ac:dyDescent="0.25">
      <c r="B1" s="97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2:13" ht="21.75" customHeight="1" x14ac:dyDescent="0.25">
      <c r="B2" s="108" t="s">
        <v>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4" spans="2:13" ht="15" customHeight="1" x14ac:dyDescent="0.25">
      <c r="B4" s="99" t="s">
        <v>2</v>
      </c>
      <c r="C4" s="100"/>
      <c r="D4" s="100"/>
      <c r="E4" s="100"/>
      <c r="F4" s="100"/>
      <c r="G4" s="100"/>
      <c r="H4" s="100"/>
      <c r="I4" s="101"/>
    </row>
    <row r="5" spans="2:13" ht="15" customHeight="1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</row>
    <row r="6" spans="2:13" ht="15" customHeight="1" x14ac:dyDescent="0.25">
      <c r="B6" s="2" t="s">
        <v>15</v>
      </c>
      <c r="C6" s="3">
        <v>148</v>
      </c>
      <c r="D6" s="3">
        <v>154.5</v>
      </c>
      <c r="E6" s="3">
        <v>174</v>
      </c>
      <c r="F6" s="3">
        <v>207</v>
      </c>
      <c r="G6" s="3">
        <v>250</v>
      </c>
      <c r="H6" s="3">
        <v>270</v>
      </c>
      <c r="I6" s="3">
        <v>289</v>
      </c>
      <c r="J6" s="3">
        <v>306</v>
      </c>
      <c r="K6" s="3">
        <v>323</v>
      </c>
      <c r="L6" s="3">
        <v>339</v>
      </c>
      <c r="M6" s="3">
        <v>355</v>
      </c>
    </row>
    <row r="7" spans="2:13" ht="15" customHeight="1" x14ac:dyDescent="0.25">
      <c r="B7" s="4" t="s">
        <v>16</v>
      </c>
      <c r="C7" s="3">
        <v>1380</v>
      </c>
      <c r="D7" s="3">
        <v>1425</v>
      </c>
      <c r="E7" s="3">
        <v>1490</v>
      </c>
      <c r="F7" s="3">
        <v>1590</v>
      </c>
      <c r="G7" s="3">
        <v>1694</v>
      </c>
      <c r="H7" s="3">
        <v>1780</v>
      </c>
      <c r="I7" s="3">
        <v>1890</v>
      </c>
      <c r="J7" s="3">
        <v>2000</v>
      </c>
      <c r="K7" s="3">
        <v>2120</v>
      </c>
      <c r="L7" s="3">
        <v>2250</v>
      </c>
      <c r="M7" s="3">
        <v>2390</v>
      </c>
    </row>
    <row r="8" spans="2:13" ht="15" customHeight="1" x14ac:dyDescent="0.25">
      <c r="B8" s="2" t="s">
        <v>17</v>
      </c>
      <c r="C8" s="5" t="s">
        <v>18</v>
      </c>
      <c r="D8" s="6">
        <f t="shared" ref="D8:M8" si="0">(D6-C6)/C6</f>
        <v>4.3918918918918921E-2</v>
      </c>
      <c r="E8" s="6">
        <f t="shared" si="0"/>
        <v>0.12621359223300971</v>
      </c>
      <c r="F8" s="6">
        <f t="shared" si="0"/>
        <v>0.18965517241379309</v>
      </c>
      <c r="G8" s="6">
        <f t="shared" si="0"/>
        <v>0.20772946859903382</v>
      </c>
      <c r="H8" s="6">
        <f t="shared" si="0"/>
        <v>0.08</v>
      </c>
      <c r="I8" s="6">
        <f t="shared" si="0"/>
        <v>7.0370370370370375E-2</v>
      </c>
      <c r="J8" s="6">
        <f t="shared" si="0"/>
        <v>5.8823529411764705E-2</v>
      </c>
      <c r="K8" s="6">
        <f t="shared" si="0"/>
        <v>5.5555555555555552E-2</v>
      </c>
      <c r="L8" s="6">
        <f t="shared" si="0"/>
        <v>4.9535603715170282E-2</v>
      </c>
      <c r="M8" s="6">
        <f t="shared" si="0"/>
        <v>4.71976401179941E-2</v>
      </c>
    </row>
    <row r="9" spans="2:13" ht="15" customHeight="1" x14ac:dyDescent="0.3">
      <c r="B9" s="111" t="s">
        <v>19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</row>
    <row r="11" spans="2:13" ht="15" customHeight="1" x14ac:dyDescent="0.25">
      <c r="B11" s="99" t="s">
        <v>20</v>
      </c>
      <c r="C11" s="100"/>
      <c r="D11" s="100"/>
      <c r="E11" s="100"/>
      <c r="F11" s="100"/>
      <c r="G11" s="100"/>
      <c r="H11" s="101"/>
    </row>
    <row r="12" spans="2:13" ht="33.75" customHeight="1" x14ac:dyDescent="0.25"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27</v>
      </c>
    </row>
    <row r="13" spans="2:13" ht="15" customHeight="1" x14ac:dyDescent="0.25">
      <c r="B13" s="7" t="s">
        <v>28</v>
      </c>
      <c r="C13" s="8">
        <v>3.2</v>
      </c>
      <c r="D13" s="8">
        <v>0.15</v>
      </c>
      <c r="E13" s="9">
        <v>22</v>
      </c>
      <c r="F13" s="3">
        <v>25</v>
      </c>
      <c r="G13" s="8">
        <v>2.5</v>
      </c>
      <c r="H13" s="3">
        <v>0</v>
      </c>
    </row>
    <row r="14" spans="2:13" ht="15" customHeight="1" x14ac:dyDescent="0.25">
      <c r="B14" s="10" t="s">
        <v>29</v>
      </c>
      <c r="C14" s="8">
        <v>5.2</v>
      </c>
      <c r="D14" s="8">
        <v>0.25</v>
      </c>
      <c r="E14" s="9">
        <v>28</v>
      </c>
      <c r="F14" s="3">
        <v>25</v>
      </c>
      <c r="G14" s="8">
        <v>3.2</v>
      </c>
      <c r="H14" s="3">
        <v>0</v>
      </c>
    </row>
    <row r="15" spans="2:13" ht="15" customHeight="1" x14ac:dyDescent="0.25">
      <c r="B15" s="11" t="s">
        <v>30</v>
      </c>
      <c r="C15" s="8">
        <v>11.5</v>
      </c>
      <c r="D15" s="8">
        <v>0.65</v>
      </c>
      <c r="E15" s="9">
        <v>68</v>
      </c>
      <c r="F15" s="3">
        <v>40</v>
      </c>
      <c r="G15" s="8">
        <v>4.8</v>
      </c>
      <c r="H15" s="3">
        <v>0.85</v>
      </c>
    </row>
    <row r="16" spans="2:13" ht="15" customHeight="1" x14ac:dyDescent="0.25">
      <c r="B16" s="12" t="s">
        <v>31</v>
      </c>
      <c r="C16" s="8">
        <v>6.5</v>
      </c>
      <c r="D16" s="8">
        <v>0.4</v>
      </c>
      <c r="E16" s="9">
        <v>55</v>
      </c>
      <c r="F16" s="3">
        <v>30</v>
      </c>
      <c r="G16" s="8">
        <v>4.2</v>
      </c>
      <c r="H16" s="3">
        <v>0.45</v>
      </c>
    </row>
    <row r="17" spans="2:12" ht="15" customHeight="1" x14ac:dyDescent="0.25">
      <c r="B17" s="13" t="s">
        <v>32</v>
      </c>
      <c r="C17" s="8">
        <v>16</v>
      </c>
      <c r="D17" s="8">
        <v>0.2</v>
      </c>
      <c r="E17" s="9">
        <v>42</v>
      </c>
      <c r="F17" s="3">
        <v>50</v>
      </c>
      <c r="G17" s="8">
        <v>3.8</v>
      </c>
      <c r="H17" s="3">
        <v>0</v>
      </c>
    </row>
    <row r="18" spans="2:12" ht="15" customHeight="1" x14ac:dyDescent="0.25">
      <c r="B18" s="14" t="s">
        <v>33</v>
      </c>
      <c r="C18" s="8">
        <v>50</v>
      </c>
      <c r="D18" s="8">
        <v>0.8</v>
      </c>
      <c r="E18" s="9">
        <v>80</v>
      </c>
      <c r="F18" s="3">
        <v>60</v>
      </c>
      <c r="G18" s="8">
        <v>5.5</v>
      </c>
      <c r="H18" s="3">
        <v>0</v>
      </c>
    </row>
    <row r="19" spans="2:12" ht="15" customHeight="1" x14ac:dyDescent="0.25">
      <c r="B19" s="15" t="s">
        <v>34</v>
      </c>
      <c r="C19" s="8">
        <v>3.8</v>
      </c>
      <c r="D19" s="8">
        <v>0.12</v>
      </c>
      <c r="E19" s="9">
        <v>20</v>
      </c>
      <c r="F19" s="3">
        <v>15</v>
      </c>
      <c r="G19" s="8">
        <v>4.5</v>
      </c>
      <c r="H19" s="3">
        <v>0</v>
      </c>
    </row>
    <row r="20" spans="2:12" ht="15" customHeight="1" x14ac:dyDescent="0.3">
      <c r="B20" s="111" t="s">
        <v>35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</row>
    <row r="22" spans="2:12" ht="15" customHeight="1" x14ac:dyDescent="0.25">
      <c r="B22" s="99" t="s">
        <v>36</v>
      </c>
      <c r="C22" s="100"/>
      <c r="D22" s="100"/>
      <c r="E22" s="100"/>
      <c r="F22" s="101"/>
    </row>
    <row r="23" spans="2:12" ht="15" customHeight="1" x14ac:dyDescent="0.25">
      <c r="B23" s="1" t="s">
        <v>37</v>
      </c>
      <c r="C23" s="1" t="s">
        <v>38</v>
      </c>
      <c r="D23" s="1" t="s">
        <v>39</v>
      </c>
      <c r="E23" s="1" t="s">
        <v>40</v>
      </c>
    </row>
    <row r="24" spans="2:12" ht="15" customHeight="1" x14ac:dyDescent="0.25">
      <c r="B24" s="2" t="s">
        <v>41</v>
      </c>
      <c r="C24" s="16">
        <v>500</v>
      </c>
      <c r="D24" s="17" t="s">
        <v>42</v>
      </c>
      <c r="E24" s="94" t="s">
        <v>43</v>
      </c>
    </row>
    <row r="25" spans="2:12" ht="15" customHeight="1" x14ac:dyDescent="0.25">
      <c r="B25" s="4" t="s">
        <v>44</v>
      </c>
      <c r="C25" s="16">
        <v>27</v>
      </c>
      <c r="D25" s="17" t="s">
        <v>42</v>
      </c>
      <c r="E25" s="94" t="s">
        <v>45</v>
      </c>
    </row>
    <row r="26" spans="2:12" ht="15" customHeight="1" x14ac:dyDescent="0.25">
      <c r="B26" s="2" t="s">
        <v>46</v>
      </c>
      <c r="C26" s="16">
        <v>175</v>
      </c>
      <c r="D26" s="17" t="s">
        <v>42</v>
      </c>
      <c r="E26" s="94" t="s">
        <v>47</v>
      </c>
    </row>
    <row r="27" spans="2:12" ht="15" customHeight="1" x14ac:dyDescent="0.25">
      <c r="B27" s="4" t="s">
        <v>48</v>
      </c>
      <c r="C27" s="16">
        <v>100</v>
      </c>
      <c r="D27" s="17" t="s">
        <v>42</v>
      </c>
      <c r="E27" s="94" t="s">
        <v>49</v>
      </c>
    </row>
    <row r="28" spans="2:12" ht="15" customHeight="1" x14ac:dyDescent="0.25">
      <c r="B28" s="2" t="s">
        <v>50</v>
      </c>
      <c r="C28" s="16">
        <v>60</v>
      </c>
      <c r="D28" s="17" t="s">
        <v>42</v>
      </c>
      <c r="E28" s="94" t="s">
        <v>51</v>
      </c>
    </row>
    <row r="29" spans="2:12" ht="15" customHeight="1" x14ac:dyDescent="0.25">
      <c r="B29" s="4" t="s">
        <v>52</v>
      </c>
      <c r="C29" s="16">
        <v>300</v>
      </c>
      <c r="D29" s="17" t="s">
        <v>53</v>
      </c>
      <c r="E29" s="94" t="s">
        <v>54</v>
      </c>
    </row>
    <row r="30" spans="2:12" ht="15" customHeight="1" x14ac:dyDescent="0.25">
      <c r="B30" s="2" t="s">
        <v>55</v>
      </c>
      <c r="C30" s="18">
        <v>15</v>
      </c>
      <c r="D30" s="17" t="s">
        <v>56</v>
      </c>
      <c r="E30" s="94" t="s">
        <v>57</v>
      </c>
    </row>
    <row r="31" spans="2:12" ht="15" customHeight="1" x14ac:dyDescent="0.25">
      <c r="B31" s="4" t="s">
        <v>58</v>
      </c>
      <c r="C31" s="16">
        <v>150000</v>
      </c>
      <c r="D31" s="17" t="s">
        <v>59</v>
      </c>
      <c r="E31" s="94" t="s">
        <v>60</v>
      </c>
    </row>
  </sheetData>
  <mergeCells count="7">
    <mergeCell ref="B4:I4"/>
    <mergeCell ref="B2:M2"/>
    <mergeCell ref="B20:L20"/>
    <mergeCell ref="B1:M1"/>
    <mergeCell ref="B22:F22"/>
    <mergeCell ref="B11:H11"/>
    <mergeCell ref="B9:L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ACA0"/>
  </sheetPr>
  <dimension ref="B1:M16"/>
  <sheetViews>
    <sheetView showGridLines="0" zoomScaleNormal="100" workbookViewId="0">
      <selection activeCell="X24" sqref="X24"/>
    </sheetView>
  </sheetViews>
  <sheetFormatPr defaultColWidth="8.7109375" defaultRowHeight="15" x14ac:dyDescent="0.25"/>
  <cols>
    <col min="1" max="1" width="1.85546875" customWidth="1"/>
    <col min="2" max="2" width="18" customWidth="1"/>
    <col min="3" max="8" width="14" customWidth="1"/>
  </cols>
  <sheetData>
    <row r="1" spans="2:13" ht="37.5" customHeight="1" x14ac:dyDescent="0.25">
      <c r="B1" s="97" t="s">
        <v>61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2:13" ht="21.75" customHeight="1" x14ac:dyDescent="0.25">
      <c r="B2" s="108" t="s">
        <v>62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3" spans="2:13" ht="21.75" customHeight="1" x14ac:dyDescent="0.25"/>
    <row r="5" spans="2:13" ht="15" customHeight="1" x14ac:dyDescent="0.25">
      <c r="B5" s="99" t="s">
        <v>63</v>
      </c>
      <c r="C5" s="100"/>
      <c r="D5" s="100"/>
      <c r="E5" s="100"/>
      <c r="F5" s="100"/>
      <c r="G5" s="100"/>
      <c r="H5" s="101"/>
    </row>
    <row r="6" spans="2:13" ht="15" customHeight="1" x14ac:dyDescent="0.25">
      <c r="B6" s="1" t="s">
        <v>64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2:13" ht="15" customHeight="1" x14ac:dyDescent="0.25">
      <c r="B7" s="19" t="s">
        <v>28</v>
      </c>
      <c r="C7" s="20">
        <v>38</v>
      </c>
      <c r="D7" s="20">
        <v>47</v>
      </c>
      <c r="E7" s="20">
        <v>56</v>
      </c>
      <c r="F7" s="20">
        <v>73</v>
      </c>
      <c r="G7" s="20">
        <v>92</v>
      </c>
      <c r="H7" s="20">
        <v>111</v>
      </c>
    </row>
    <row r="8" spans="2:13" ht="15" customHeight="1" x14ac:dyDescent="0.25">
      <c r="B8" s="21" t="s">
        <v>29</v>
      </c>
      <c r="C8" s="22">
        <v>38.6</v>
      </c>
      <c r="D8" s="22">
        <v>39.6</v>
      </c>
      <c r="E8" s="22">
        <v>40.4</v>
      </c>
      <c r="F8" s="22">
        <v>42.6</v>
      </c>
      <c r="G8" s="22">
        <v>45.2</v>
      </c>
      <c r="H8" s="22">
        <v>51.3</v>
      </c>
    </row>
    <row r="9" spans="2:13" ht="15" customHeight="1" x14ac:dyDescent="0.25">
      <c r="B9" s="23" t="s">
        <v>65</v>
      </c>
      <c r="C9" s="20">
        <v>206</v>
      </c>
      <c r="D9" s="20">
        <v>211</v>
      </c>
      <c r="E9" s="20">
        <v>214</v>
      </c>
      <c r="F9" s="20">
        <v>217</v>
      </c>
      <c r="G9" s="20">
        <v>219</v>
      </c>
      <c r="H9" s="20">
        <v>221</v>
      </c>
    </row>
    <row r="10" spans="2:13" ht="15" customHeight="1" x14ac:dyDescent="0.25">
      <c r="B10" s="24" t="s">
        <v>31</v>
      </c>
      <c r="C10" s="22">
        <v>24.8</v>
      </c>
      <c r="D10" s="22">
        <v>25</v>
      </c>
      <c r="E10" s="22">
        <v>25.2</v>
      </c>
      <c r="F10" s="22">
        <v>25.1</v>
      </c>
      <c r="G10" s="22">
        <v>24.8</v>
      </c>
      <c r="H10" s="22">
        <v>24.5</v>
      </c>
    </row>
    <row r="11" spans="2:13" ht="15" customHeight="1" x14ac:dyDescent="0.25">
      <c r="B11" s="25" t="s">
        <v>32</v>
      </c>
      <c r="C11" s="20">
        <v>45.7</v>
      </c>
      <c r="D11" s="20">
        <v>46.3</v>
      </c>
      <c r="E11" s="20">
        <v>46.8</v>
      </c>
      <c r="F11" s="20">
        <v>47</v>
      </c>
      <c r="G11" s="20">
        <v>47.5</v>
      </c>
      <c r="H11" s="20">
        <v>48</v>
      </c>
    </row>
    <row r="12" spans="2:13" ht="15" customHeight="1" x14ac:dyDescent="0.25">
      <c r="B12" s="26" t="s">
        <v>33</v>
      </c>
      <c r="C12" s="22">
        <v>6.8</v>
      </c>
      <c r="D12" s="22">
        <v>6.8</v>
      </c>
      <c r="E12" s="22">
        <v>6.8</v>
      </c>
      <c r="F12" s="22">
        <v>7.5</v>
      </c>
      <c r="G12" s="22">
        <v>7.5</v>
      </c>
      <c r="H12" s="22">
        <v>8.8000000000000007</v>
      </c>
    </row>
    <row r="13" spans="2:13" ht="15" customHeight="1" x14ac:dyDescent="0.25">
      <c r="B13" s="27" t="s">
        <v>66</v>
      </c>
      <c r="C13" s="20">
        <v>0</v>
      </c>
      <c r="D13" s="20">
        <v>0</v>
      </c>
      <c r="E13" s="20">
        <v>0.05</v>
      </c>
      <c r="F13" s="20">
        <v>0.1</v>
      </c>
      <c r="G13" s="20">
        <v>0.22</v>
      </c>
      <c r="H13" s="20">
        <v>0.5</v>
      </c>
    </row>
    <row r="14" spans="2:13" ht="15" customHeight="1" x14ac:dyDescent="0.25">
      <c r="B14" s="28" t="s">
        <v>67</v>
      </c>
      <c r="C14" s="29">
        <f t="shared" ref="C14:H14" si="0">SUM(C7:C13)</f>
        <v>359.90000000000003</v>
      </c>
      <c r="D14" s="29">
        <f t="shared" si="0"/>
        <v>375.70000000000005</v>
      </c>
      <c r="E14" s="29">
        <f t="shared" si="0"/>
        <v>389.25</v>
      </c>
      <c r="F14" s="29">
        <f t="shared" si="0"/>
        <v>412.30000000000007</v>
      </c>
      <c r="G14" s="29">
        <f t="shared" si="0"/>
        <v>436.22</v>
      </c>
      <c r="H14" s="29">
        <f t="shared" si="0"/>
        <v>465.1</v>
      </c>
    </row>
    <row r="15" spans="2:13" ht="15" customHeight="1" x14ac:dyDescent="0.25">
      <c r="B15" s="30" t="s">
        <v>68</v>
      </c>
      <c r="C15" s="31">
        <f t="shared" ref="C15:H15" si="1">C7+C8+C11+C12+C13</f>
        <v>129.1</v>
      </c>
      <c r="D15" s="31">
        <f t="shared" si="1"/>
        <v>139.69999999999999</v>
      </c>
      <c r="E15" s="31">
        <f t="shared" si="1"/>
        <v>150.05000000000001</v>
      </c>
      <c r="F15" s="31">
        <f t="shared" si="1"/>
        <v>170.2</v>
      </c>
      <c r="G15" s="31">
        <f t="shared" si="1"/>
        <v>192.42</v>
      </c>
      <c r="H15" s="31">
        <f t="shared" si="1"/>
        <v>219.60000000000002</v>
      </c>
    </row>
    <row r="16" spans="2:13" ht="15" customHeight="1" x14ac:dyDescent="0.25">
      <c r="B16" s="113" t="s">
        <v>69</v>
      </c>
      <c r="C16" s="98"/>
      <c r="D16" s="98"/>
      <c r="E16" s="98"/>
      <c r="F16" s="98"/>
      <c r="G16" s="98"/>
      <c r="H16" s="98"/>
    </row>
  </sheetData>
  <mergeCells count="4">
    <mergeCell ref="B16:H16"/>
    <mergeCell ref="B2:M2"/>
    <mergeCell ref="B1:M1"/>
    <mergeCell ref="B5:H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A838"/>
  </sheetPr>
  <dimension ref="B1:M58"/>
  <sheetViews>
    <sheetView showGridLines="0" zoomScaleNormal="100" workbookViewId="0">
      <selection activeCell="B2" sqref="B2:M2"/>
    </sheetView>
  </sheetViews>
  <sheetFormatPr defaultColWidth="8.7109375" defaultRowHeight="15" x14ac:dyDescent="0.25"/>
  <cols>
    <col min="1" max="1" width="1.85546875" customWidth="1"/>
    <col min="2" max="2" width="59.28515625" bestFit="1" customWidth="1"/>
    <col min="3" max="3" width="16.140625" bestFit="1" customWidth="1"/>
    <col min="4" max="4" width="13.140625" bestFit="1" customWidth="1"/>
    <col min="5" max="7" width="9.5703125" bestFit="1" customWidth="1"/>
    <col min="8" max="8" width="15.28515625" bestFit="1" customWidth="1"/>
  </cols>
  <sheetData>
    <row r="1" spans="2:13" ht="37.5" customHeight="1" x14ac:dyDescent="0.25">
      <c r="B1" s="97" t="s">
        <v>70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2:13" ht="21.75" customHeight="1" x14ac:dyDescent="0.25">
      <c r="B2" s="108" t="s">
        <v>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4" spans="2:13" ht="15" customHeight="1" x14ac:dyDescent="0.25">
      <c r="B4" s="119" t="s">
        <v>72</v>
      </c>
      <c r="C4" s="100"/>
      <c r="D4" s="100"/>
      <c r="E4" s="100"/>
      <c r="F4" s="100"/>
      <c r="G4" s="100"/>
      <c r="H4" s="101"/>
    </row>
    <row r="5" spans="2:13" ht="15" customHeight="1" x14ac:dyDescent="0.25">
      <c r="B5" s="1" t="s">
        <v>21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73</v>
      </c>
    </row>
    <row r="6" spans="2:13" ht="15" customHeight="1" x14ac:dyDescent="0.25">
      <c r="B6" s="19" t="s">
        <v>28</v>
      </c>
      <c r="C6" s="32">
        <v>28</v>
      </c>
      <c r="D6" s="32">
        <v>30</v>
      </c>
      <c r="E6" s="32">
        <v>32</v>
      </c>
      <c r="F6" s="32">
        <v>33</v>
      </c>
      <c r="G6" s="32">
        <v>34</v>
      </c>
      <c r="H6" s="33">
        <f t="shared" ref="H6:H12" si="0">SUM(C6:G6)</f>
        <v>157</v>
      </c>
    </row>
    <row r="7" spans="2:13" ht="15" customHeight="1" x14ac:dyDescent="0.25">
      <c r="B7" s="21" t="s">
        <v>29</v>
      </c>
      <c r="C7" s="32">
        <v>7</v>
      </c>
      <c r="D7" s="32">
        <v>8</v>
      </c>
      <c r="E7" s="32">
        <v>9</v>
      </c>
      <c r="F7" s="32">
        <v>10</v>
      </c>
      <c r="G7" s="32">
        <v>11</v>
      </c>
      <c r="H7" s="33">
        <f t="shared" si="0"/>
        <v>45</v>
      </c>
    </row>
    <row r="8" spans="2:13" ht="15" customHeight="1" x14ac:dyDescent="0.25">
      <c r="B8" s="4" t="s">
        <v>30</v>
      </c>
      <c r="C8" s="32">
        <v>4</v>
      </c>
      <c r="D8" s="32">
        <v>4</v>
      </c>
      <c r="E8" s="32">
        <v>3</v>
      </c>
      <c r="F8" s="32">
        <v>3</v>
      </c>
      <c r="G8" s="32">
        <v>3</v>
      </c>
      <c r="H8" s="33">
        <f t="shared" si="0"/>
        <v>17</v>
      </c>
    </row>
    <row r="9" spans="2:13" ht="15" customHeight="1" x14ac:dyDescent="0.25">
      <c r="B9" s="24" t="s">
        <v>31</v>
      </c>
      <c r="C9" s="32">
        <v>2</v>
      </c>
      <c r="D9" s="32">
        <v>2</v>
      </c>
      <c r="E9" s="32">
        <v>2</v>
      </c>
      <c r="F9" s="32">
        <v>2</v>
      </c>
      <c r="G9" s="32">
        <v>2</v>
      </c>
      <c r="H9" s="33">
        <f t="shared" si="0"/>
        <v>10</v>
      </c>
    </row>
    <row r="10" spans="2:13" ht="15" customHeight="1" x14ac:dyDescent="0.25">
      <c r="B10" s="25" t="s">
        <v>32</v>
      </c>
      <c r="C10" s="32">
        <v>1</v>
      </c>
      <c r="D10" s="32">
        <v>1</v>
      </c>
      <c r="E10" s="32">
        <v>2</v>
      </c>
      <c r="F10" s="32">
        <v>2</v>
      </c>
      <c r="G10" s="32">
        <v>2</v>
      </c>
      <c r="H10" s="33">
        <f t="shared" si="0"/>
        <v>8</v>
      </c>
    </row>
    <row r="11" spans="2:13" ht="15" customHeight="1" x14ac:dyDescent="0.25">
      <c r="B11" s="26" t="s">
        <v>33</v>
      </c>
      <c r="C11" s="32">
        <v>0</v>
      </c>
      <c r="D11" s="32">
        <v>0</v>
      </c>
      <c r="E11" s="32">
        <v>1</v>
      </c>
      <c r="F11" s="32">
        <v>1</v>
      </c>
      <c r="G11" s="32">
        <v>1</v>
      </c>
      <c r="H11" s="33">
        <f t="shared" si="0"/>
        <v>3</v>
      </c>
    </row>
    <row r="12" spans="2:13" ht="15" customHeight="1" x14ac:dyDescent="0.25">
      <c r="B12" s="4" t="s">
        <v>34</v>
      </c>
      <c r="C12" s="32">
        <v>8</v>
      </c>
      <c r="D12" s="32">
        <v>10</v>
      </c>
      <c r="E12" s="32">
        <v>12</v>
      </c>
      <c r="F12" s="32">
        <v>13</v>
      </c>
      <c r="G12" s="32">
        <v>14</v>
      </c>
      <c r="H12" s="33">
        <f t="shared" si="0"/>
        <v>57</v>
      </c>
    </row>
    <row r="14" spans="2:13" ht="15" customHeight="1" x14ac:dyDescent="0.25">
      <c r="B14" s="99" t="s">
        <v>74</v>
      </c>
      <c r="C14" s="100"/>
      <c r="D14" s="100"/>
      <c r="E14" s="100"/>
      <c r="F14" s="100"/>
      <c r="G14" s="101"/>
    </row>
    <row r="15" spans="2:13" ht="15" customHeight="1" x14ac:dyDescent="0.25">
      <c r="B15" s="1" t="s">
        <v>21</v>
      </c>
      <c r="C15" s="1" t="s">
        <v>75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</row>
    <row r="16" spans="2:13" ht="15" customHeight="1" x14ac:dyDescent="0.25">
      <c r="B16" s="19" t="s">
        <v>28</v>
      </c>
      <c r="C16" s="34">
        <v>111</v>
      </c>
      <c r="D16" s="35">
        <f t="shared" ref="D16:H22" si="1">C16+C6</f>
        <v>139</v>
      </c>
      <c r="E16" s="35">
        <f t="shared" si="1"/>
        <v>169</v>
      </c>
      <c r="F16" s="35">
        <f t="shared" si="1"/>
        <v>201</v>
      </c>
      <c r="G16" s="35">
        <f t="shared" si="1"/>
        <v>234</v>
      </c>
      <c r="H16" s="35">
        <f t="shared" si="1"/>
        <v>268</v>
      </c>
    </row>
    <row r="17" spans="2:8" ht="15" customHeight="1" x14ac:dyDescent="0.25">
      <c r="B17" s="21" t="s">
        <v>29</v>
      </c>
      <c r="C17" s="34">
        <v>51.3</v>
      </c>
      <c r="D17" s="36">
        <f t="shared" si="1"/>
        <v>58.3</v>
      </c>
      <c r="E17" s="36">
        <f t="shared" si="1"/>
        <v>66.3</v>
      </c>
      <c r="F17" s="36">
        <f t="shared" si="1"/>
        <v>75.3</v>
      </c>
      <c r="G17" s="36">
        <f t="shared" si="1"/>
        <v>85.3</v>
      </c>
      <c r="H17" s="36">
        <f t="shared" si="1"/>
        <v>96.3</v>
      </c>
    </row>
    <row r="18" spans="2:8" ht="15" customHeight="1" x14ac:dyDescent="0.25">
      <c r="B18" s="4" t="s">
        <v>30</v>
      </c>
      <c r="C18" s="34">
        <v>221</v>
      </c>
      <c r="D18" s="35">
        <f t="shared" si="1"/>
        <v>225</v>
      </c>
      <c r="E18" s="35">
        <f t="shared" si="1"/>
        <v>229</v>
      </c>
      <c r="F18" s="35">
        <f t="shared" si="1"/>
        <v>232</v>
      </c>
      <c r="G18" s="35">
        <f t="shared" si="1"/>
        <v>235</v>
      </c>
      <c r="H18" s="35">
        <f t="shared" si="1"/>
        <v>238</v>
      </c>
    </row>
    <row r="19" spans="2:8" ht="15" customHeight="1" x14ac:dyDescent="0.25">
      <c r="B19" s="24" t="s">
        <v>31</v>
      </c>
      <c r="C19" s="34">
        <v>24.5</v>
      </c>
      <c r="D19" s="36">
        <f t="shared" si="1"/>
        <v>26.5</v>
      </c>
      <c r="E19" s="36">
        <f t="shared" si="1"/>
        <v>28.5</v>
      </c>
      <c r="F19" s="36">
        <f t="shared" si="1"/>
        <v>30.5</v>
      </c>
      <c r="G19" s="36">
        <f t="shared" si="1"/>
        <v>32.5</v>
      </c>
      <c r="H19" s="36">
        <f t="shared" si="1"/>
        <v>34.5</v>
      </c>
    </row>
    <row r="20" spans="2:8" ht="15" customHeight="1" x14ac:dyDescent="0.25">
      <c r="B20" s="25" t="s">
        <v>32</v>
      </c>
      <c r="C20" s="34">
        <v>48</v>
      </c>
      <c r="D20" s="35">
        <f t="shared" si="1"/>
        <v>49</v>
      </c>
      <c r="E20" s="35">
        <f t="shared" si="1"/>
        <v>50</v>
      </c>
      <c r="F20" s="35">
        <f t="shared" si="1"/>
        <v>52</v>
      </c>
      <c r="G20" s="35">
        <f t="shared" si="1"/>
        <v>54</v>
      </c>
      <c r="H20" s="35">
        <f t="shared" si="1"/>
        <v>56</v>
      </c>
    </row>
    <row r="21" spans="2:8" ht="15" customHeight="1" x14ac:dyDescent="0.25">
      <c r="B21" s="26" t="s">
        <v>33</v>
      </c>
      <c r="C21" s="34">
        <v>8.8000000000000007</v>
      </c>
      <c r="D21" s="36">
        <f t="shared" si="1"/>
        <v>8.8000000000000007</v>
      </c>
      <c r="E21" s="36">
        <f t="shared" si="1"/>
        <v>8.8000000000000007</v>
      </c>
      <c r="F21" s="36">
        <f t="shared" si="1"/>
        <v>9.8000000000000007</v>
      </c>
      <c r="G21" s="36">
        <f t="shared" si="1"/>
        <v>10.8</v>
      </c>
      <c r="H21" s="36">
        <f t="shared" si="1"/>
        <v>11.8</v>
      </c>
    </row>
    <row r="22" spans="2:8" ht="15" customHeight="1" x14ac:dyDescent="0.25">
      <c r="B22" s="4" t="s">
        <v>34</v>
      </c>
      <c r="C22" s="34">
        <v>0.5</v>
      </c>
      <c r="D22" s="35">
        <f t="shared" si="1"/>
        <v>8.5</v>
      </c>
      <c r="E22" s="35">
        <f t="shared" si="1"/>
        <v>18.5</v>
      </c>
      <c r="F22" s="35">
        <f t="shared" si="1"/>
        <v>30.5</v>
      </c>
      <c r="G22" s="35">
        <f t="shared" si="1"/>
        <v>43.5</v>
      </c>
      <c r="H22" s="35">
        <f t="shared" si="1"/>
        <v>57.5</v>
      </c>
    </row>
    <row r="23" spans="2:8" ht="15" customHeight="1" x14ac:dyDescent="0.25">
      <c r="B23" s="28" t="s">
        <v>67</v>
      </c>
      <c r="C23" s="29">
        <f t="shared" ref="C23:H23" si="2">SUM(C16:C22)</f>
        <v>465.1</v>
      </c>
      <c r="D23" s="29">
        <f t="shared" si="2"/>
        <v>515.1</v>
      </c>
      <c r="E23" s="29">
        <f t="shared" si="2"/>
        <v>570.09999999999991</v>
      </c>
      <c r="F23" s="29">
        <f t="shared" si="2"/>
        <v>631.09999999999991</v>
      </c>
      <c r="G23" s="29">
        <f t="shared" si="2"/>
        <v>695.09999999999991</v>
      </c>
      <c r="H23" s="29">
        <f t="shared" si="2"/>
        <v>762.09999999999991</v>
      </c>
    </row>
    <row r="24" spans="2:8" ht="15" customHeight="1" x14ac:dyDescent="0.25">
      <c r="B24" s="30" t="s">
        <v>68</v>
      </c>
      <c r="C24" s="31">
        <f t="shared" ref="C24:H24" si="3">C16+C17+C20+C21+C22</f>
        <v>219.60000000000002</v>
      </c>
      <c r="D24" s="31">
        <f t="shared" si="3"/>
        <v>263.60000000000002</v>
      </c>
      <c r="E24" s="31">
        <f t="shared" si="3"/>
        <v>312.60000000000002</v>
      </c>
      <c r="F24" s="31">
        <f t="shared" si="3"/>
        <v>368.6</v>
      </c>
      <c r="G24" s="31">
        <f t="shared" si="3"/>
        <v>427.6</v>
      </c>
      <c r="H24" s="31">
        <f t="shared" si="3"/>
        <v>489.6</v>
      </c>
    </row>
    <row r="26" spans="2:8" ht="15" customHeight="1" x14ac:dyDescent="0.25">
      <c r="B26" s="119" t="s">
        <v>76</v>
      </c>
      <c r="C26" s="100"/>
      <c r="D26" s="100"/>
      <c r="E26" s="100"/>
      <c r="F26" s="100"/>
      <c r="G26" s="100"/>
      <c r="H26" s="101"/>
    </row>
    <row r="27" spans="2:8" ht="15" customHeight="1" x14ac:dyDescent="0.25">
      <c r="B27" s="1" t="s">
        <v>77</v>
      </c>
      <c r="C27" s="1" t="s">
        <v>10</v>
      </c>
      <c r="D27" s="1" t="s">
        <v>11</v>
      </c>
      <c r="E27" s="1" t="s">
        <v>12</v>
      </c>
      <c r="F27" s="1" t="s">
        <v>13</v>
      </c>
      <c r="G27" s="1" t="s">
        <v>14</v>
      </c>
      <c r="H27" s="1" t="s">
        <v>78</v>
      </c>
    </row>
    <row r="28" spans="2:8" ht="15" customHeight="1" x14ac:dyDescent="0.25">
      <c r="B28" s="2" t="s">
        <v>79</v>
      </c>
      <c r="C28" s="37">
        <f>SUMPRODUCT(C6:C12,Assumptions!C13:C19)*1000</f>
        <v>231400</v>
      </c>
      <c r="D28" s="37">
        <f>SUMPRODUCT(D6:D12,Assumptions!C13:C19)*1000</f>
        <v>250600</v>
      </c>
      <c r="E28" s="37">
        <f>SUMPRODUCT(E6:E12,Assumptions!C13:C19)*1000</f>
        <v>324300.00000000006</v>
      </c>
      <c r="F28" s="37">
        <f>SUMPRODUCT(F6:F12,Assumptions!C13:C19)*1000</f>
        <v>336500</v>
      </c>
      <c r="G28" s="37">
        <f>SUMPRODUCT(G6:G12,Assumptions!C13:C19)*1000</f>
        <v>348700</v>
      </c>
      <c r="H28" s="38" t="str">
        <f>IF(SUM(C28:G28)&lt;=750000,"✓ 5yr Budget OK","✗ Over Budget")</f>
        <v>✗ Over Budget</v>
      </c>
    </row>
    <row r="29" spans="2:8" ht="15" customHeight="1" x14ac:dyDescent="0.25">
      <c r="B29" s="39" t="s">
        <v>80</v>
      </c>
      <c r="C29" s="40">
        <f>SUM(C28:G28)</f>
        <v>1491500</v>
      </c>
    </row>
    <row r="30" spans="2:8" ht="15" customHeight="1" x14ac:dyDescent="0.25">
      <c r="B30" s="4" t="s">
        <v>81</v>
      </c>
      <c r="C30" s="36">
        <f>(D18*Assumptions!E15/100*8.76*Assumptions!H15+D19*Assumptions!E16/100*8.76*Assumptions!H16)</f>
        <v>1196.69265</v>
      </c>
      <c r="D30" s="36">
        <f>(E18*Assumptions!E15/100*8.76*Assumptions!H15+E19*Assumptions!E16/100*8.76*Assumptions!H16)</f>
        <v>1221.28197</v>
      </c>
      <c r="E30" s="36">
        <f>(F18*Assumptions!E15/100*8.76*Assumptions!H15+F19*Assumptions!E16/100*8.76*Assumptions!H16)</f>
        <v>1240.80801</v>
      </c>
      <c r="F30" s="36">
        <f>(G18*Assumptions!E15/100*8.76*Assumptions!H15+G19*Assumptions!E16/100*8.76*Assumptions!H16)</f>
        <v>1260.3340499999999</v>
      </c>
      <c r="G30" s="36">
        <f>(H18*Assumptions!E15/100*8.76*Assumptions!H15+H19*Assumptions!E16/100*8.76*Assumptions!H16)</f>
        <v>1279.8600899999999</v>
      </c>
    </row>
    <row r="31" spans="2:8" ht="15" customHeight="1" x14ac:dyDescent="0.25">
      <c r="B31" s="2" t="s">
        <v>82</v>
      </c>
      <c r="C31" s="35">
        <f>D16*Assumptions!E13/100+D17*Assumptions!E14/100+D18*Assumptions!E15/100+D19*Assumptions!E16/100+D20*Assumptions!E17/100+D21*Assumptions!E18/100+D22*Assumptions!E19/100</f>
        <v>243.79899999999995</v>
      </c>
      <c r="D31" s="35">
        <f>E16*Assumptions!E13/100+E17*Assumptions!E14/100+E18*Assumptions!E15/100+E19*Assumptions!E16/100+E20*Assumptions!E17/100+E21*Assumptions!E18/100+E22*Assumptions!E19/100</f>
        <v>258.87900000000002</v>
      </c>
      <c r="E31" s="35">
        <f>F16*Assumptions!E13/100+F17*Assumptions!E14/100+F18*Assumptions!E15/100+F19*Assumptions!E16/100+F20*Assumptions!E17/100+F21*Assumptions!E18/100+F22*Assumptions!E19/100</f>
        <v>275.61899999999997</v>
      </c>
      <c r="F31" s="35">
        <f>G16*Assumptions!E13/100+G17*Assumptions!E14/100+G18*Assumptions!E15/100+G19*Assumptions!E16/100+G20*Assumptions!E17/100+G21*Assumptions!E18/100+G22*Assumptions!E19/100</f>
        <v>293.05899999999997</v>
      </c>
      <c r="G31" s="35">
        <f>H16*Assumptions!E13/100+H17*Assumptions!E14/100+H18*Assumptions!E15/100+H19*Assumptions!E16/100+H20*Assumptions!E17/100+H21*Assumptions!E18/100+H22*Assumptions!E19/100</f>
        <v>311.19900000000001</v>
      </c>
    </row>
    <row r="32" spans="2:8" ht="15" customHeight="1" x14ac:dyDescent="0.25">
      <c r="B32" s="4" t="s">
        <v>83</v>
      </c>
      <c r="C32" s="36">
        <f>Assumptions!H6*(1+Assumptions!C31/100)</f>
        <v>405270</v>
      </c>
      <c r="D32" s="36">
        <f>Assumptions!I6*(1+Assumptions!C31/100)</f>
        <v>433789</v>
      </c>
      <c r="E32" s="36">
        <f>Assumptions!J6*(1+Assumptions!C31/100)</f>
        <v>459306</v>
      </c>
      <c r="F32" s="36">
        <f>Assumptions!K6*(1+Assumptions!C31/100)</f>
        <v>484823</v>
      </c>
      <c r="G32" s="36">
        <f>Assumptions!L6*(1+Assumptions!C31/100)</f>
        <v>508839</v>
      </c>
    </row>
    <row r="33" spans="2:8" ht="15" customHeight="1" x14ac:dyDescent="0.25">
      <c r="B33" s="41" t="s">
        <v>84</v>
      </c>
      <c r="C33" s="42">
        <f>C31-C32</f>
        <v>-405026.201</v>
      </c>
      <c r="D33" s="42">
        <f>D31-D32</f>
        <v>-433530.12099999998</v>
      </c>
      <c r="E33" s="42">
        <f>E31-E32</f>
        <v>-459030.38099999999</v>
      </c>
      <c r="F33" s="42">
        <f>F31-F32</f>
        <v>-484529.94099999999</v>
      </c>
      <c r="G33" s="42">
        <f>G31-G32</f>
        <v>-508527.80099999998</v>
      </c>
      <c r="H33" s="43" t="str">
        <f>IF(MIN(C33:G33)&gt;=0,"✓ Demand Met","✗ Shortfall")</f>
        <v>✗ Shortfall</v>
      </c>
    </row>
    <row r="34" spans="2:8" ht="15" customHeight="1" x14ac:dyDescent="0.25">
      <c r="B34" s="44" t="s">
        <v>85</v>
      </c>
      <c r="C34" s="45">
        <f>H24</f>
        <v>489.6</v>
      </c>
      <c r="D34" s="46" t="str">
        <f>IF(C34&gt;=500,"✓ Target Met","✗ Below Target")</f>
        <v>✗ Below Target</v>
      </c>
    </row>
    <row r="35" spans="2:8" ht="15" customHeight="1" x14ac:dyDescent="0.25">
      <c r="B35" s="2" t="s">
        <v>86</v>
      </c>
      <c r="C35" s="35">
        <f>H8</f>
        <v>17</v>
      </c>
      <c r="D35" s="47" t="str">
        <f>IF(C35&lt;=27,"✓ Within Cap","✗ Exceeds Cap")</f>
        <v>✓ Within Cap</v>
      </c>
    </row>
    <row r="36" spans="2:8" ht="15" customHeight="1" x14ac:dyDescent="0.25">
      <c r="B36" s="4" t="s">
        <v>87</v>
      </c>
      <c r="C36" s="36">
        <f>H16</f>
        <v>268</v>
      </c>
      <c r="D36" s="48" t="str">
        <f>IF(C36&gt;=175,"✓ Target Met","✗ Below Target")</f>
        <v>✓ Target Met</v>
      </c>
    </row>
    <row r="37" spans="2:8" ht="15" customHeight="1" x14ac:dyDescent="0.25">
      <c r="B37" s="2" t="s">
        <v>88</v>
      </c>
      <c r="C37" s="35">
        <f>H17</f>
        <v>96.3</v>
      </c>
      <c r="D37" s="47" t="str">
        <f>IF(C37&gt;=100,"✓ Target Met","✗ Below Target")</f>
        <v>✗ Below Target</v>
      </c>
    </row>
    <row r="38" spans="2:8" ht="15" customHeight="1" x14ac:dyDescent="0.25">
      <c r="B38" s="4" t="s">
        <v>89</v>
      </c>
      <c r="C38" s="36">
        <f>H22</f>
        <v>57.5</v>
      </c>
      <c r="D38" s="48" t="str">
        <f>IF(C38&gt;=60,"✓ Target Met","✗ Below Target")</f>
        <v>✗ Below Target</v>
      </c>
    </row>
    <row r="40" spans="2:8" ht="15" customHeight="1" x14ac:dyDescent="0.25">
      <c r="B40" s="115" t="s">
        <v>90</v>
      </c>
      <c r="C40" s="116"/>
      <c r="D40" s="117"/>
    </row>
    <row r="41" spans="2:8" ht="15" customHeight="1" x14ac:dyDescent="0.25">
      <c r="B41" s="49" t="s">
        <v>91</v>
      </c>
      <c r="C41" s="50">
        <f>C29</f>
        <v>1491500</v>
      </c>
    </row>
    <row r="42" spans="2:8" ht="15" customHeight="1" x14ac:dyDescent="0.25">
      <c r="B42" s="49" t="s">
        <v>92</v>
      </c>
      <c r="C42" s="50">
        <f>SUM(C30:G30)*Assumptions!C29*30</f>
        <v>55790790.929999992</v>
      </c>
    </row>
    <row r="43" spans="2:8" ht="17.45" customHeight="1" x14ac:dyDescent="0.25">
      <c r="B43" s="51" t="s">
        <v>93</v>
      </c>
      <c r="C43" s="52">
        <f>C41+C42</f>
        <v>57282290.929999992</v>
      </c>
    </row>
    <row r="45" spans="2:8" ht="15" customHeight="1" x14ac:dyDescent="0.25">
      <c r="B45" s="53" t="s">
        <v>94</v>
      </c>
    </row>
    <row r="46" spans="2:8" ht="15" customHeight="1" x14ac:dyDescent="0.25">
      <c r="B46" s="118" t="s">
        <v>95</v>
      </c>
      <c r="C46" s="100"/>
      <c r="D46" s="100"/>
      <c r="E46" s="100"/>
      <c r="F46" s="100"/>
      <c r="G46" s="100"/>
      <c r="H46" s="100"/>
    </row>
    <row r="47" spans="2:8" ht="15" customHeight="1" x14ac:dyDescent="0.25">
      <c r="B47" s="114" t="s">
        <v>215</v>
      </c>
      <c r="C47" s="100"/>
      <c r="D47" s="100"/>
      <c r="E47" s="100"/>
      <c r="F47" s="100"/>
      <c r="G47" s="100"/>
      <c r="H47" s="100"/>
    </row>
    <row r="48" spans="2:8" ht="15" customHeight="1" x14ac:dyDescent="0.25">
      <c r="B48" s="114" t="s">
        <v>216</v>
      </c>
      <c r="C48" s="100"/>
      <c r="D48" s="100"/>
      <c r="E48" s="100"/>
      <c r="F48" s="100"/>
      <c r="G48" s="100"/>
      <c r="H48" s="100"/>
    </row>
    <row r="49" spans="2:8" ht="15" customHeight="1" x14ac:dyDescent="0.25">
      <c r="B49" s="114" t="s">
        <v>96</v>
      </c>
      <c r="C49" s="100"/>
      <c r="D49" s="100"/>
      <c r="E49" s="100"/>
      <c r="F49" s="100"/>
      <c r="G49" s="100"/>
      <c r="H49" s="100"/>
    </row>
    <row r="50" spans="2:8" ht="15" customHeight="1" x14ac:dyDescent="0.25">
      <c r="B50" s="114" t="s">
        <v>217</v>
      </c>
      <c r="C50" s="100"/>
      <c r="D50" s="100"/>
      <c r="E50" s="100"/>
      <c r="F50" s="100"/>
      <c r="G50" s="100"/>
      <c r="H50" s="100"/>
    </row>
    <row r="51" spans="2:8" ht="15" customHeight="1" x14ac:dyDescent="0.25">
      <c r="B51" s="114" t="s">
        <v>218</v>
      </c>
      <c r="C51" s="100"/>
      <c r="D51" s="100"/>
      <c r="E51" s="100"/>
      <c r="F51" s="100"/>
      <c r="G51" s="100"/>
      <c r="H51" s="100"/>
    </row>
    <row r="52" spans="2:8" ht="15" customHeight="1" x14ac:dyDescent="0.25">
      <c r="B52" s="114" t="s">
        <v>219</v>
      </c>
      <c r="C52" s="100"/>
      <c r="D52" s="100"/>
      <c r="E52" s="100"/>
      <c r="F52" s="100"/>
      <c r="G52" s="100"/>
      <c r="H52" s="100"/>
    </row>
    <row r="53" spans="2:8" ht="15" customHeight="1" x14ac:dyDescent="0.25">
      <c r="B53" s="114" t="s">
        <v>220</v>
      </c>
      <c r="C53" s="100"/>
      <c r="D53" s="100"/>
      <c r="E53" s="100"/>
      <c r="F53" s="100"/>
      <c r="G53" s="100"/>
      <c r="H53" s="100"/>
    </row>
    <row r="54" spans="2:8" ht="15" customHeight="1" x14ac:dyDescent="0.25">
      <c r="B54" s="114" t="s">
        <v>221</v>
      </c>
      <c r="C54" s="100"/>
      <c r="D54" s="100"/>
      <c r="E54" s="100"/>
      <c r="F54" s="100"/>
      <c r="G54" s="100"/>
      <c r="H54" s="100"/>
    </row>
    <row r="55" spans="2:8" ht="15" customHeight="1" x14ac:dyDescent="0.25">
      <c r="B55" s="114" t="s">
        <v>222</v>
      </c>
      <c r="C55" s="100"/>
      <c r="D55" s="100"/>
      <c r="E55" s="100"/>
      <c r="F55" s="100"/>
      <c r="G55" s="100"/>
      <c r="H55" s="100"/>
    </row>
    <row r="56" spans="2:8" ht="15" customHeight="1" x14ac:dyDescent="0.25">
      <c r="B56" s="114" t="s">
        <v>223</v>
      </c>
      <c r="C56" s="100"/>
      <c r="D56" s="100"/>
      <c r="E56" s="100"/>
      <c r="F56" s="100"/>
      <c r="G56" s="100"/>
      <c r="H56" s="100"/>
    </row>
    <row r="57" spans="2:8" ht="15" customHeight="1" x14ac:dyDescent="0.25">
      <c r="B57" s="114" t="s">
        <v>224</v>
      </c>
      <c r="C57" s="100"/>
      <c r="D57" s="100"/>
      <c r="E57" s="100"/>
      <c r="F57" s="100"/>
      <c r="G57" s="100"/>
      <c r="H57" s="100"/>
    </row>
    <row r="58" spans="2:8" ht="15" customHeight="1" x14ac:dyDescent="0.25">
      <c r="B58" s="114" t="s">
        <v>97</v>
      </c>
      <c r="C58" s="100"/>
      <c r="D58" s="100"/>
      <c r="E58" s="100"/>
      <c r="F58" s="100"/>
      <c r="G58" s="100"/>
      <c r="H58" s="100"/>
    </row>
  </sheetData>
  <mergeCells count="19">
    <mergeCell ref="B1:M1"/>
    <mergeCell ref="B50:H50"/>
    <mergeCell ref="B55:H55"/>
    <mergeCell ref="B26:H26"/>
    <mergeCell ref="B57:H57"/>
    <mergeCell ref="B47:H47"/>
    <mergeCell ref="B53:H53"/>
    <mergeCell ref="B4:H4"/>
    <mergeCell ref="B52:H52"/>
    <mergeCell ref="B2:M2"/>
    <mergeCell ref="B58:H58"/>
    <mergeCell ref="B14:G14"/>
    <mergeCell ref="B48:H48"/>
    <mergeCell ref="B49:H49"/>
    <mergeCell ref="B51:H51"/>
    <mergeCell ref="B40:D40"/>
    <mergeCell ref="B54:H54"/>
    <mergeCell ref="B46:H46"/>
    <mergeCell ref="B56:H5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4A6E"/>
  </sheetPr>
  <dimension ref="B1:M37"/>
  <sheetViews>
    <sheetView showGridLines="0" tabSelected="1" zoomScale="85" zoomScaleNormal="85" workbookViewId="0">
      <selection activeCell="X34" sqref="X34"/>
    </sheetView>
  </sheetViews>
  <sheetFormatPr defaultColWidth="8.7109375" defaultRowHeight="15" x14ac:dyDescent="0.25"/>
  <cols>
    <col min="1" max="1" width="1.85546875" customWidth="1"/>
    <col min="2" max="2" width="23.85546875" bestFit="1" customWidth="1"/>
    <col min="3" max="3" width="14" bestFit="1" customWidth="1"/>
    <col min="4" max="4" width="16" bestFit="1" customWidth="1"/>
    <col min="5" max="5" width="11.85546875" bestFit="1" customWidth="1"/>
    <col min="6" max="6" width="15.85546875" bestFit="1" customWidth="1"/>
    <col min="7" max="7" width="11.85546875" bestFit="1" customWidth="1"/>
    <col min="8" max="8" width="20.42578125" bestFit="1" customWidth="1"/>
    <col min="9" max="9" width="6.140625" bestFit="1" customWidth="1"/>
    <col min="10" max="13" width="15" customWidth="1"/>
  </cols>
  <sheetData>
    <row r="1" spans="2:13" ht="37.5" customHeight="1" x14ac:dyDescent="0.25">
      <c r="B1" s="97" t="s">
        <v>98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2:13" ht="21.75" customHeight="1" x14ac:dyDescent="0.25">
      <c r="B2" s="108" t="s">
        <v>99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4" spans="2:13" ht="15" customHeight="1" x14ac:dyDescent="0.25">
      <c r="B4" s="99" t="s">
        <v>100</v>
      </c>
      <c r="C4" s="100"/>
      <c r="D4" s="100"/>
      <c r="E4" s="100"/>
      <c r="F4" s="100"/>
      <c r="G4" s="100"/>
      <c r="H4" s="100"/>
      <c r="I4" s="101"/>
    </row>
    <row r="5" spans="2:13" ht="15" customHeight="1" x14ac:dyDescent="0.25">
      <c r="B5" s="54" t="s">
        <v>101</v>
      </c>
      <c r="C5" s="55">
        <f>'Optimization Model'!C41</f>
        <v>1491500</v>
      </c>
      <c r="D5" s="54" t="s">
        <v>102</v>
      </c>
      <c r="E5" s="55">
        <f>'Optimization Model'!C42</f>
        <v>55790790.929999992</v>
      </c>
      <c r="F5" s="54" t="s">
        <v>103</v>
      </c>
      <c r="G5" s="55">
        <f>'Optimization Model'!C43</f>
        <v>57282290.929999992</v>
      </c>
      <c r="H5" s="54" t="s">
        <v>104</v>
      </c>
      <c r="I5" s="56">
        <f>'Optimization Model'!H24</f>
        <v>489.6</v>
      </c>
    </row>
    <row r="6" spans="2:13" ht="15" customHeight="1" x14ac:dyDescent="0.25">
      <c r="B6" s="54" t="s">
        <v>105</v>
      </c>
      <c r="C6" s="56">
        <f>'Optimization Model'!H23</f>
        <v>762.09999999999991</v>
      </c>
      <c r="D6" s="54" t="s">
        <v>106</v>
      </c>
      <c r="E6" s="56">
        <f>'Optimization Model'!H16</f>
        <v>268</v>
      </c>
      <c r="F6" s="54" t="s">
        <v>107</v>
      </c>
      <c r="G6" s="56">
        <f>'Optimization Model'!H17</f>
        <v>96.3</v>
      </c>
      <c r="H6" s="54" t="s">
        <v>108</v>
      </c>
      <c r="I6" s="56">
        <f>'Optimization Model'!H22</f>
        <v>57.5</v>
      </c>
    </row>
    <row r="8" spans="2:13" ht="15" customHeight="1" x14ac:dyDescent="0.25">
      <c r="B8" s="99" t="s">
        <v>109</v>
      </c>
      <c r="C8" s="100"/>
      <c r="D8" s="101"/>
    </row>
    <row r="9" spans="2:13" ht="15" customHeight="1" x14ac:dyDescent="0.25">
      <c r="B9" s="1" t="s">
        <v>21</v>
      </c>
      <c r="C9" s="1" t="s">
        <v>110</v>
      </c>
      <c r="D9" s="1" t="s">
        <v>111</v>
      </c>
    </row>
    <row r="10" spans="2:13" ht="15" customHeight="1" x14ac:dyDescent="0.25">
      <c r="B10" s="19" t="s">
        <v>28</v>
      </c>
      <c r="C10" s="57">
        <f>'Optimization Model'!H16</f>
        <v>268</v>
      </c>
      <c r="D10" s="58">
        <f>C10/C17</f>
        <v>0.35165988715391683</v>
      </c>
    </row>
    <row r="11" spans="2:13" ht="15" customHeight="1" x14ac:dyDescent="0.25">
      <c r="B11" s="21" t="s">
        <v>29</v>
      </c>
      <c r="C11" s="59">
        <f>'Optimization Model'!H17</f>
        <v>96.3</v>
      </c>
      <c r="D11" s="60">
        <f>C11/C17</f>
        <v>0.1263613698989634</v>
      </c>
    </row>
    <row r="12" spans="2:13" ht="15" customHeight="1" x14ac:dyDescent="0.25">
      <c r="B12" s="4" t="s">
        <v>30</v>
      </c>
      <c r="C12" s="57">
        <f>'Optimization Model'!H18</f>
        <v>238</v>
      </c>
      <c r="D12" s="58">
        <f>C12/C17</f>
        <v>0.31229497441280674</v>
      </c>
    </row>
    <row r="13" spans="2:13" ht="15" customHeight="1" x14ac:dyDescent="0.25">
      <c r="B13" s="24" t="s">
        <v>31</v>
      </c>
      <c r="C13" s="59">
        <f>'Optimization Model'!H19</f>
        <v>34.5</v>
      </c>
      <c r="D13" s="60">
        <f>C13/C17</f>
        <v>4.526964965227661E-2</v>
      </c>
    </row>
    <row r="14" spans="2:13" ht="15" customHeight="1" x14ac:dyDescent="0.25">
      <c r="B14" s="25" t="s">
        <v>32</v>
      </c>
      <c r="C14" s="57">
        <f>'Optimization Model'!H20</f>
        <v>56</v>
      </c>
      <c r="D14" s="58">
        <f>C14/C17</f>
        <v>7.3481170450072172E-2</v>
      </c>
    </row>
    <row r="15" spans="2:13" ht="15" customHeight="1" x14ac:dyDescent="0.25">
      <c r="B15" s="26" t="s">
        <v>33</v>
      </c>
      <c r="C15" s="59">
        <f>'Optimization Model'!H21</f>
        <v>11.8</v>
      </c>
      <c r="D15" s="60">
        <f>C15/C17</f>
        <v>1.5483532344836638E-2</v>
      </c>
    </row>
    <row r="16" spans="2:13" ht="15" customHeight="1" x14ac:dyDescent="0.25">
      <c r="B16" s="4" t="s">
        <v>34</v>
      </c>
      <c r="C16" s="57">
        <f>'Optimization Model'!H22</f>
        <v>57.5</v>
      </c>
      <c r="D16" s="58">
        <f>C16/C17</f>
        <v>7.5449416087127685E-2</v>
      </c>
    </row>
    <row r="17" spans="2:8" ht="15" customHeight="1" x14ac:dyDescent="0.25">
      <c r="B17" s="28" t="s">
        <v>112</v>
      </c>
      <c r="C17" s="29">
        <f>SUM(C10:C16)</f>
        <v>762.09999999999991</v>
      </c>
      <c r="D17" s="61">
        <f>SUM(D10:D16)</f>
        <v>1.0000000000000002</v>
      </c>
    </row>
    <row r="19" spans="2:8" ht="15" customHeight="1" x14ac:dyDescent="0.25">
      <c r="B19" s="99" t="s">
        <v>113</v>
      </c>
      <c r="C19" s="100"/>
      <c r="D19" s="100"/>
      <c r="E19" s="100"/>
      <c r="F19" s="100"/>
      <c r="G19" s="100"/>
      <c r="H19" s="101"/>
    </row>
    <row r="20" spans="2:8" ht="15" customHeight="1" x14ac:dyDescent="0.25">
      <c r="B20" s="1" t="s">
        <v>21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</row>
    <row r="21" spans="2:8" ht="15" customHeight="1" x14ac:dyDescent="0.25">
      <c r="B21" s="19" t="s">
        <v>28</v>
      </c>
      <c r="C21" s="57">
        <f>'Optimization Model'!C16</f>
        <v>111</v>
      </c>
      <c r="D21" s="57">
        <f>'Optimization Model'!D16</f>
        <v>139</v>
      </c>
      <c r="E21" s="57">
        <f>'Optimization Model'!E16</f>
        <v>169</v>
      </c>
      <c r="F21" s="57">
        <f>'Optimization Model'!F16</f>
        <v>201</v>
      </c>
      <c r="G21" s="57">
        <f>'Optimization Model'!G16</f>
        <v>234</v>
      </c>
      <c r="H21" s="57">
        <f>'Optimization Model'!H16</f>
        <v>268</v>
      </c>
    </row>
    <row r="22" spans="2:8" ht="15" customHeight="1" x14ac:dyDescent="0.25">
      <c r="B22" s="21" t="s">
        <v>29</v>
      </c>
      <c r="C22" s="59">
        <f>'Optimization Model'!C17</f>
        <v>51.3</v>
      </c>
      <c r="D22" s="59">
        <f>'Optimization Model'!D17</f>
        <v>58.3</v>
      </c>
      <c r="E22" s="59">
        <f>'Optimization Model'!E17</f>
        <v>66.3</v>
      </c>
      <c r="F22" s="59">
        <f>'Optimization Model'!F17</f>
        <v>75.3</v>
      </c>
      <c r="G22" s="59">
        <f>'Optimization Model'!G17</f>
        <v>85.3</v>
      </c>
      <c r="H22" s="59">
        <f>'Optimization Model'!H17</f>
        <v>96.3</v>
      </c>
    </row>
    <row r="23" spans="2:8" ht="15" customHeight="1" x14ac:dyDescent="0.25">
      <c r="B23" s="23" t="s">
        <v>30</v>
      </c>
      <c r="C23" s="57">
        <f>'Optimization Model'!C18</f>
        <v>221</v>
      </c>
      <c r="D23" s="57">
        <f>'Optimization Model'!D18</f>
        <v>225</v>
      </c>
      <c r="E23" s="57">
        <f>'Optimization Model'!E18</f>
        <v>229</v>
      </c>
      <c r="F23" s="57">
        <f>'Optimization Model'!F18</f>
        <v>232</v>
      </c>
      <c r="G23" s="57">
        <f>'Optimization Model'!G18</f>
        <v>235</v>
      </c>
      <c r="H23" s="57">
        <f>'Optimization Model'!H18</f>
        <v>238</v>
      </c>
    </row>
    <row r="24" spans="2:8" ht="15" customHeight="1" x14ac:dyDescent="0.25">
      <c r="B24" s="24" t="s">
        <v>31</v>
      </c>
      <c r="C24" s="59">
        <f>'Optimization Model'!C19</f>
        <v>24.5</v>
      </c>
      <c r="D24" s="59">
        <f>'Optimization Model'!D19</f>
        <v>26.5</v>
      </c>
      <c r="E24" s="59">
        <f>'Optimization Model'!E19</f>
        <v>28.5</v>
      </c>
      <c r="F24" s="59">
        <f>'Optimization Model'!F19</f>
        <v>30.5</v>
      </c>
      <c r="G24" s="59">
        <f>'Optimization Model'!G19</f>
        <v>32.5</v>
      </c>
      <c r="H24" s="59">
        <f>'Optimization Model'!H19</f>
        <v>34.5</v>
      </c>
    </row>
    <row r="25" spans="2:8" ht="15" customHeight="1" x14ac:dyDescent="0.25">
      <c r="B25" s="25" t="s">
        <v>32</v>
      </c>
      <c r="C25" s="57">
        <f>'Optimization Model'!C20</f>
        <v>48</v>
      </c>
      <c r="D25" s="57">
        <f>'Optimization Model'!D20</f>
        <v>49</v>
      </c>
      <c r="E25" s="57">
        <f>'Optimization Model'!E20</f>
        <v>50</v>
      </c>
      <c r="F25" s="57">
        <f>'Optimization Model'!F20</f>
        <v>52</v>
      </c>
      <c r="G25" s="57">
        <f>'Optimization Model'!G20</f>
        <v>54</v>
      </c>
      <c r="H25" s="57">
        <f>'Optimization Model'!H20</f>
        <v>56</v>
      </c>
    </row>
    <row r="26" spans="2:8" ht="15" customHeight="1" x14ac:dyDescent="0.25">
      <c r="B26" s="26" t="s">
        <v>33</v>
      </c>
      <c r="C26" s="59">
        <f>'Optimization Model'!C21</f>
        <v>8.8000000000000007</v>
      </c>
      <c r="D26" s="59">
        <f>'Optimization Model'!D21</f>
        <v>8.8000000000000007</v>
      </c>
      <c r="E26" s="59">
        <f>'Optimization Model'!E21</f>
        <v>8.8000000000000007</v>
      </c>
      <c r="F26" s="59">
        <f>'Optimization Model'!F21</f>
        <v>9.8000000000000007</v>
      </c>
      <c r="G26" s="59">
        <f>'Optimization Model'!G21</f>
        <v>10.8</v>
      </c>
      <c r="H26" s="59">
        <f>'Optimization Model'!H21</f>
        <v>11.8</v>
      </c>
    </row>
    <row r="27" spans="2:8" ht="15" customHeight="1" x14ac:dyDescent="0.25">
      <c r="B27" s="27" t="s">
        <v>34</v>
      </c>
      <c r="C27" s="57">
        <f>'Optimization Model'!C22</f>
        <v>0.5</v>
      </c>
      <c r="D27" s="57">
        <f>'Optimization Model'!D22</f>
        <v>8.5</v>
      </c>
      <c r="E27" s="57">
        <f>'Optimization Model'!E22</f>
        <v>18.5</v>
      </c>
      <c r="F27" s="57">
        <f>'Optimization Model'!F22</f>
        <v>30.5</v>
      </c>
      <c r="G27" s="57">
        <f>'Optimization Model'!G22</f>
        <v>43.5</v>
      </c>
      <c r="H27" s="57">
        <f>'Optimization Model'!H22</f>
        <v>57.5</v>
      </c>
    </row>
    <row r="28" spans="2:8" ht="15" customHeight="1" x14ac:dyDescent="0.25">
      <c r="B28" s="28" t="s">
        <v>112</v>
      </c>
      <c r="C28" s="29">
        <f t="shared" ref="C28:H28" si="0">SUM(C21:C27)</f>
        <v>465.1</v>
      </c>
      <c r="D28" s="29">
        <f t="shared" si="0"/>
        <v>515.1</v>
      </c>
      <c r="E28" s="29">
        <f t="shared" si="0"/>
        <v>570.09999999999991</v>
      </c>
      <c r="F28" s="29">
        <f t="shared" si="0"/>
        <v>631.09999999999991</v>
      </c>
      <c r="G28" s="29">
        <f t="shared" si="0"/>
        <v>695.09999999999991</v>
      </c>
      <c r="H28" s="29">
        <f t="shared" si="0"/>
        <v>762.09999999999991</v>
      </c>
    </row>
    <row r="29" spans="2:8" ht="15" customHeight="1" x14ac:dyDescent="0.25">
      <c r="B29" s="30" t="s">
        <v>68</v>
      </c>
      <c r="C29" s="31">
        <f t="shared" ref="C29:H29" si="1">C21+C22+C25+C26+C27</f>
        <v>219.60000000000002</v>
      </c>
      <c r="D29" s="31">
        <f t="shared" si="1"/>
        <v>263.60000000000002</v>
      </c>
      <c r="E29" s="31">
        <f t="shared" si="1"/>
        <v>312.60000000000002</v>
      </c>
      <c r="F29" s="31">
        <f t="shared" si="1"/>
        <v>368.6</v>
      </c>
      <c r="G29" s="31">
        <f t="shared" si="1"/>
        <v>427.6</v>
      </c>
      <c r="H29" s="31">
        <f t="shared" si="1"/>
        <v>489.6</v>
      </c>
    </row>
    <row r="30" spans="2:8" ht="15" customHeight="1" x14ac:dyDescent="0.25">
      <c r="B30" s="95"/>
      <c r="C30" s="96"/>
      <c r="D30" s="96"/>
      <c r="E30" s="96"/>
      <c r="F30" s="96"/>
      <c r="G30" s="96"/>
      <c r="H30" s="96"/>
    </row>
    <row r="33" spans="2:7" ht="15" customHeight="1" x14ac:dyDescent="0.25">
      <c r="B33" s="99" t="s">
        <v>114</v>
      </c>
      <c r="C33" s="100"/>
      <c r="D33" s="100"/>
      <c r="E33" s="100"/>
      <c r="F33" s="100"/>
      <c r="G33" s="101"/>
    </row>
    <row r="34" spans="2:7" ht="15" customHeight="1" x14ac:dyDescent="0.25">
      <c r="B34" s="1" t="s">
        <v>77</v>
      </c>
      <c r="C34" s="1" t="s">
        <v>10</v>
      </c>
      <c r="D34" s="1" t="s">
        <v>11</v>
      </c>
      <c r="E34" s="1" t="s">
        <v>12</v>
      </c>
      <c r="F34" s="1" t="s">
        <v>13</v>
      </c>
      <c r="G34" s="1" t="s">
        <v>14</v>
      </c>
    </row>
    <row r="35" spans="2:7" ht="15" customHeight="1" x14ac:dyDescent="0.25">
      <c r="B35" s="2" t="s">
        <v>79</v>
      </c>
      <c r="C35" s="62">
        <f>'Optimization Model'!C28</f>
        <v>231400</v>
      </c>
      <c r="D35" s="62">
        <f>'Optimization Model'!D28</f>
        <v>250600</v>
      </c>
      <c r="E35" s="62">
        <f>'Optimization Model'!E28</f>
        <v>324300.00000000006</v>
      </c>
      <c r="F35" s="62">
        <f>'Optimization Model'!F28</f>
        <v>336500</v>
      </c>
      <c r="G35" s="62">
        <f>'Optimization Model'!G28</f>
        <v>348700</v>
      </c>
    </row>
    <row r="36" spans="2:7" ht="15" customHeight="1" x14ac:dyDescent="0.25">
      <c r="B36" s="4" t="s">
        <v>115</v>
      </c>
      <c r="C36" s="59">
        <f>'Optimization Model'!C30</f>
        <v>1196.69265</v>
      </c>
      <c r="D36" s="59">
        <f>'Optimization Model'!D30</f>
        <v>1221.28197</v>
      </c>
      <c r="E36" s="59">
        <f>'Optimization Model'!E30</f>
        <v>1240.80801</v>
      </c>
      <c r="F36" s="59">
        <f>'Optimization Model'!F30</f>
        <v>1260.3340499999999</v>
      </c>
      <c r="G36" s="59">
        <f>'Optimization Model'!G30</f>
        <v>1279.8600899999999</v>
      </c>
    </row>
    <row r="37" spans="2:7" ht="15" customHeight="1" x14ac:dyDescent="0.25">
      <c r="B37" s="2" t="s">
        <v>82</v>
      </c>
      <c r="C37" s="57">
        <f>'Optimization Model'!C31</f>
        <v>243.79899999999995</v>
      </c>
      <c r="D37" s="57">
        <f>'Optimization Model'!D31</f>
        <v>258.87900000000002</v>
      </c>
      <c r="E37" s="57">
        <f>'Optimization Model'!E31</f>
        <v>275.61899999999997</v>
      </c>
      <c r="F37" s="57">
        <f>'Optimization Model'!F31</f>
        <v>293.05899999999997</v>
      </c>
      <c r="G37" s="57">
        <f>'Optimization Model'!G31</f>
        <v>311.19900000000001</v>
      </c>
    </row>
  </sheetData>
  <mergeCells count="6">
    <mergeCell ref="B4:I4"/>
    <mergeCell ref="B2:M2"/>
    <mergeCell ref="B33:G33"/>
    <mergeCell ref="B8:D8"/>
    <mergeCell ref="B1:M1"/>
    <mergeCell ref="B19:H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E93D8"/>
  </sheetPr>
  <dimension ref="B1:M72"/>
  <sheetViews>
    <sheetView showGridLines="0" zoomScaleNormal="100" workbookViewId="0">
      <selection activeCell="Z44" sqref="Z44"/>
    </sheetView>
  </sheetViews>
  <sheetFormatPr defaultColWidth="8.7109375" defaultRowHeight="15" x14ac:dyDescent="0.25"/>
  <cols>
    <col min="1" max="1" width="1.85546875" customWidth="1"/>
    <col min="2" max="2" width="25.140625" bestFit="1" customWidth="1"/>
    <col min="3" max="3" width="17" bestFit="1" customWidth="1"/>
    <col min="4" max="4" width="18.140625" bestFit="1" customWidth="1"/>
    <col min="5" max="5" width="15.7109375" bestFit="1" customWidth="1"/>
    <col min="6" max="6" width="15.42578125" bestFit="1" customWidth="1"/>
  </cols>
  <sheetData>
    <row r="1" spans="2:13" ht="37.5" customHeight="1" x14ac:dyDescent="0.25">
      <c r="B1" s="97" t="s">
        <v>116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2:13" ht="21.75" customHeight="1" x14ac:dyDescent="0.25">
      <c r="B2" s="108" t="s">
        <v>117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4" spans="2:13" ht="15" customHeight="1" x14ac:dyDescent="0.25">
      <c r="B4" s="99" t="s">
        <v>118</v>
      </c>
      <c r="C4" s="100"/>
      <c r="D4" s="100"/>
      <c r="E4" s="100"/>
      <c r="F4" s="101"/>
    </row>
    <row r="5" spans="2:13" ht="33.75" customHeight="1" x14ac:dyDescent="0.25">
      <c r="B5" s="1" t="s">
        <v>77</v>
      </c>
      <c r="C5" s="1" t="s">
        <v>119</v>
      </c>
      <c r="D5" s="1" t="s">
        <v>120</v>
      </c>
      <c r="E5" s="1" t="s">
        <v>121</v>
      </c>
      <c r="F5" s="1" t="s">
        <v>122</v>
      </c>
    </row>
    <row r="6" spans="2:13" ht="15" customHeight="1" x14ac:dyDescent="0.25">
      <c r="B6" s="2" t="s">
        <v>123</v>
      </c>
      <c r="C6" s="63">
        <v>268</v>
      </c>
      <c r="D6" s="63">
        <v>320</v>
      </c>
      <c r="E6" s="63">
        <v>180</v>
      </c>
      <c r="F6" s="63">
        <v>240</v>
      </c>
    </row>
    <row r="7" spans="2:13" ht="15" customHeight="1" x14ac:dyDescent="0.25">
      <c r="B7" s="4" t="s">
        <v>124</v>
      </c>
      <c r="C7" s="64">
        <v>96</v>
      </c>
      <c r="D7" s="64">
        <v>130</v>
      </c>
      <c r="E7" s="64">
        <v>65</v>
      </c>
      <c r="F7" s="64">
        <v>105</v>
      </c>
    </row>
    <row r="8" spans="2:13" ht="15" customHeight="1" x14ac:dyDescent="0.25">
      <c r="B8" s="2" t="s">
        <v>125</v>
      </c>
      <c r="C8" s="63">
        <v>238</v>
      </c>
      <c r="D8" s="63">
        <v>221</v>
      </c>
      <c r="E8" s="63">
        <v>260</v>
      </c>
      <c r="F8" s="63">
        <v>232</v>
      </c>
    </row>
    <row r="9" spans="2:13" ht="15" customHeight="1" x14ac:dyDescent="0.25">
      <c r="B9" s="4" t="s">
        <v>126</v>
      </c>
      <c r="C9" s="64">
        <v>34</v>
      </c>
      <c r="D9" s="64">
        <v>24</v>
      </c>
      <c r="E9" s="64">
        <v>40</v>
      </c>
      <c r="F9" s="64">
        <v>35</v>
      </c>
    </row>
    <row r="10" spans="2:13" ht="15" customHeight="1" x14ac:dyDescent="0.25">
      <c r="B10" s="2" t="s">
        <v>127</v>
      </c>
      <c r="C10" s="63">
        <v>56</v>
      </c>
      <c r="D10" s="63">
        <v>60</v>
      </c>
      <c r="E10" s="63">
        <v>50</v>
      </c>
      <c r="F10" s="63">
        <v>55</v>
      </c>
    </row>
    <row r="11" spans="2:13" ht="15" customHeight="1" x14ac:dyDescent="0.25">
      <c r="B11" s="4" t="s">
        <v>128</v>
      </c>
      <c r="C11" s="64">
        <v>12</v>
      </c>
      <c r="D11" s="64">
        <v>15</v>
      </c>
      <c r="E11" s="64">
        <v>10</v>
      </c>
      <c r="F11" s="64">
        <v>13</v>
      </c>
    </row>
    <row r="12" spans="2:13" ht="15" customHeight="1" x14ac:dyDescent="0.25">
      <c r="B12" s="2" t="s">
        <v>129</v>
      </c>
      <c r="C12" s="63">
        <v>67</v>
      </c>
      <c r="D12" s="63">
        <v>90</v>
      </c>
      <c r="E12" s="63">
        <v>35</v>
      </c>
      <c r="F12" s="63">
        <v>58</v>
      </c>
    </row>
    <row r="13" spans="2:13" ht="15" customHeight="1" x14ac:dyDescent="0.25">
      <c r="B13" s="4" t="s">
        <v>130</v>
      </c>
      <c r="C13" s="64">
        <v>671</v>
      </c>
      <c r="D13" s="64">
        <v>880</v>
      </c>
      <c r="E13" s="64">
        <v>640</v>
      </c>
      <c r="F13" s="64">
        <v>738</v>
      </c>
    </row>
    <row r="14" spans="2:13" ht="15" customHeight="1" x14ac:dyDescent="0.25">
      <c r="B14" s="2" t="s">
        <v>131</v>
      </c>
      <c r="C14" s="63">
        <v>503</v>
      </c>
      <c r="D14" s="63">
        <v>615</v>
      </c>
      <c r="E14" s="63">
        <v>340</v>
      </c>
      <c r="F14" s="63">
        <v>511</v>
      </c>
    </row>
    <row r="15" spans="2:13" ht="15" customHeight="1" x14ac:dyDescent="0.25">
      <c r="B15" s="4" t="s">
        <v>132</v>
      </c>
      <c r="C15" s="36">
        <v>5.8</v>
      </c>
      <c r="D15" s="36">
        <v>7.2</v>
      </c>
      <c r="E15" s="36">
        <v>4.0999999999999996</v>
      </c>
      <c r="F15" s="36">
        <v>5.2</v>
      </c>
    </row>
    <row r="16" spans="2:13" ht="15" customHeight="1" x14ac:dyDescent="0.25">
      <c r="B16" s="2" t="s">
        <v>133</v>
      </c>
      <c r="C16" s="63">
        <v>195</v>
      </c>
      <c r="D16" s="63">
        <v>165</v>
      </c>
      <c r="E16" s="63">
        <v>230</v>
      </c>
      <c r="F16" s="63">
        <v>185</v>
      </c>
    </row>
    <row r="17" spans="2:6" ht="15" customHeight="1" x14ac:dyDescent="0.25">
      <c r="B17" s="39" t="s">
        <v>134</v>
      </c>
      <c r="C17" s="65" t="s">
        <v>135</v>
      </c>
      <c r="D17" s="65" t="s">
        <v>135</v>
      </c>
      <c r="E17" s="66" t="s">
        <v>136</v>
      </c>
      <c r="F17" s="65" t="s">
        <v>135</v>
      </c>
    </row>
    <row r="19" spans="2:6" ht="15" customHeight="1" x14ac:dyDescent="0.25">
      <c r="B19" s="99" t="s">
        <v>137</v>
      </c>
      <c r="C19" s="100"/>
      <c r="D19" s="100"/>
      <c r="E19" s="100"/>
      <c r="F19" s="101"/>
    </row>
    <row r="20" spans="2:6" ht="15" customHeight="1" x14ac:dyDescent="0.25">
      <c r="B20" s="67" t="s">
        <v>21</v>
      </c>
      <c r="C20" s="67" t="s">
        <v>138</v>
      </c>
      <c r="D20" s="67" t="s">
        <v>139</v>
      </c>
      <c r="E20" s="67" t="s">
        <v>140</v>
      </c>
      <c r="F20" s="67" t="s">
        <v>141</v>
      </c>
    </row>
    <row r="21" spans="2:6" ht="15" customHeight="1" x14ac:dyDescent="0.25">
      <c r="B21" s="19" t="s">
        <v>142</v>
      </c>
      <c r="C21" s="38">
        <v>268</v>
      </c>
      <c r="D21" s="38">
        <v>320</v>
      </c>
      <c r="E21" s="38">
        <v>180</v>
      </c>
      <c r="F21" s="38">
        <v>240</v>
      </c>
    </row>
    <row r="22" spans="2:6" ht="15" customHeight="1" x14ac:dyDescent="0.25">
      <c r="B22" s="21" t="s">
        <v>143</v>
      </c>
      <c r="C22" s="68">
        <v>96</v>
      </c>
      <c r="D22" s="68">
        <v>130</v>
      </c>
      <c r="E22" s="68">
        <v>65</v>
      </c>
      <c r="F22" s="68">
        <v>105</v>
      </c>
    </row>
    <row r="23" spans="2:6" ht="15" customHeight="1" x14ac:dyDescent="0.25">
      <c r="B23" s="23" t="s">
        <v>65</v>
      </c>
      <c r="C23" s="38">
        <v>238</v>
      </c>
      <c r="D23" s="38">
        <v>221</v>
      </c>
      <c r="E23" s="38">
        <v>260</v>
      </c>
      <c r="F23" s="38">
        <v>232</v>
      </c>
    </row>
    <row r="24" spans="2:6" ht="15" customHeight="1" x14ac:dyDescent="0.25">
      <c r="B24" s="24" t="s">
        <v>144</v>
      </c>
      <c r="C24" s="68">
        <v>34</v>
      </c>
      <c r="D24" s="68">
        <v>24</v>
      </c>
      <c r="E24" s="68">
        <v>40</v>
      </c>
      <c r="F24" s="68">
        <v>35</v>
      </c>
    </row>
    <row r="25" spans="2:6" ht="15" customHeight="1" x14ac:dyDescent="0.25">
      <c r="B25" s="25" t="s">
        <v>145</v>
      </c>
      <c r="C25" s="38">
        <v>56</v>
      </c>
      <c r="D25" s="38">
        <v>60</v>
      </c>
      <c r="E25" s="38">
        <v>50</v>
      </c>
      <c r="F25" s="38">
        <v>55</v>
      </c>
    </row>
    <row r="26" spans="2:6" ht="15" customHeight="1" x14ac:dyDescent="0.25">
      <c r="B26" s="26" t="s">
        <v>33</v>
      </c>
      <c r="C26" s="68">
        <v>12</v>
      </c>
      <c r="D26" s="68">
        <v>15</v>
      </c>
      <c r="E26" s="68">
        <v>10</v>
      </c>
      <c r="F26" s="68">
        <v>13</v>
      </c>
    </row>
    <row r="27" spans="2:6" ht="15" customHeight="1" x14ac:dyDescent="0.25">
      <c r="B27" s="27" t="s">
        <v>66</v>
      </c>
      <c r="C27" s="38">
        <v>67</v>
      </c>
      <c r="D27" s="38">
        <v>90</v>
      </c>
      <c r="E27" s="38">
        <v>35</v>
      </c>
      <c r="F27" s="38">
        <v>58</v>
      </c>
    </row>
    <row r="30" spans="2:6" ht="15" customHeight="1" x14ac:dyDescent="0.25">
      <c r="B30" s="99" t="s">
        <v>146</v>
      </c>
      <c r="C30" s="100"/>
      <c r="D30" s="100"/>
      <c r="E30" s="100"/>
      <c r="F30" s="101"/>
    </row>
    <row r="31" spans="2:6" ht="30" customHeight="1" x14ac:dyDescent="0.25">
      <c r="B31" s="1" t="s">
        <v>147</v>
      </c>
      <c r="C31" s="1" t="s">
        <v>148</v>
      </c>
      <c r="D31" s="1" t="s">
        <v>149</v>
      </c>
      <c r="E31" s="1" t="s">
        <v>150</v>
      </c>
    </row>
    <row r="32" spans="2:6" ht="15" customHeight="1" x14ac:dyDescent="0.25">
      <c r="B32" s="2" t="s">
        <v>138</v>
      </c>
      <c r="C32" s="35">
        <v>5.8</v>
      </c>
      <c r="D32" s="63">
        <v>195</v>
      </c>
      <c r="E32" s="63">
        <v>503</v>
      </c>
    </row>
    <row r="33" spans="2:9" ht="15" customHeight="1" x14ac:dyDescent="0.25">
      <c r="B33" s="4" t="s">
        <v>139</v>
      </c>
      <c r="C33" s="36">
        <v>7.2</v>
      </c>
      <c r="D33" s="64">
        <v>165</v>
      </c>
      <c r="E33" s="64">
        <v>615</v>
      </c>
    </row>
    <row r="34" spans="2:9" ht="15" customHeight="1" x14ac:dyDescent="0.25">
      <c r="B34" s="2" t="s">
        <v>140</v>
      </c>
      <c r="C34" s="35">
        <v>4.0999999999999996</v>
      </c>
      <c r="D34" s="63">
        <v>230</v>
      </c>
      <c r="E34" s="63">
        <v>340</v>
      </c>
    </row>
    <row r="35" spans="2:9" ht="15" customHeight="1" x14ac:dyDescent="0.25">
      <c r="B35" s="4" t="s">
        <v>141</v>
      </c>
      <c r="C35" s="36">
        <v>5.2</v>
      </c>
      <c r="D35" s="64">
        <v>185</v>
      </c>
      <c r="E35" s="64">
        <v>511</v>
      </c>
    </row>
    <row r="38" spans="2:9" ht="15.75" x14ac:dyDescent="0.25">
      <c r="B38" s="109" t="s">
        <v>151</v>
      </c>
      <c r="C38" s="103"/>
      <c r="D38" s="103"/>
      <c r="E38" s="103"/>
      <c r="F38" s="103"/>
      <c r="G38" s="103"/>
      <c r="H38" s="103"/>
      <c r="I38" s="104"/>
    </row>
    <row r="39" spans="2:9" ht="30" customHeight="1" x14ac:dyDescent="0.25">
      <c r="B39" s="105" t="s">
        <v>152</v>
      </c>
      <c r="C39" s="98"/>
      <c r="D39" s="98"/>
      <c r="E39" s="98"/>
      <c r="F39" s="98"/>
      <c r="G39" s="98"/>
      <c r="H39" s="98"/>
      <c r="I39" s="98"/>
    </row>
    <row r="41" spans="2:9" x14ac:dyDescent="0.25">
      <c r="B41" s="106" t="s">
        <v>153</v>
      </c>
      <c r="C41" s="103"/>
      <c r="D41" s="103"/>
      <c r="E41" s="103"/>
      <c r="F41" s="104"/>
    </row>
    <row r="42" spans="2:9" x14ac:dyDescent="0.25">
      <c r="B42" s="69" t="s">
        <v>21</v>
      </c>
      <c r="C42" s="69" t="s">
        <v>138</v>
      </c>
      <c r="D42" s="69" t="s">
        <v>139</v>
      </c>
      <c r="E42" s="69" t="s">
        <v>140</v>
      </c>
      <c r="F42" s="69" t="s">
        <v>141</v>
      </c>
    </row>
    <row r="43" spans="2:9" x14ac:dyDescent="0.25">
      <c r="B43" s="70" t="s">
        <v>28</v>
      </c>
      <c r="C43" s="71">
        <v>157</v>
      </c>
      <c r="D43" s="71">
        <v>209</v>
      </c>
      <c r="E43" s="71">
        <v>69</v>
      </c>
      <c r="F43" s="71">
        <v>129</v>
      </c>
    </row>
    <row r="44" spans="2:9" x14ac:dyDescent="0.25">
      <c r="B44" s="72" t="s">
        <v>29</v>
      </c>
      <c r="C44" s="71">
        <v>44.7</v>
      </c>
      <c r="D44" s="71">
        <v>78.7</v>
      </c>
      <c r="E44" s="71">
        <v>13.7</v>
      </c>
      <c r="F44" s="71">
        <v>53.7</v>
      </c>
    </row>
    <row r="45" spans="2:9" x14ac:dyDescent="0.25">
      <c r="B45" s="73" t="s">
        <v>30</v>
      </c>
      <c r="C45" s="71">
        <v>17</v>
      </c>
      <c r="D45" s="71">
        <v>0</v>
      </c>
      <c r="E45" s="71">
        <v>39</v>
      </c>
      <c r="F45" s="71">
        <v>11</v>
      </c>
    </row>
    <row r="46" spans="2:9" x14ac:dyDescent="0.25">
      <c r="B46" s="74" t="s">
        <v>31</v>
      </c>
      <c r="C46" s="71">
        <v>9.5</v>
      </c>
      <c r="D46" s="71">
        <v>0</v>
      </c>
      <c r="E46" s="71">
        <v>15.5</v>
      </c>
      <c r="F46" s="71">
        <v>10.5</v>
      </c>
    </row>
    <row r="47" spans="2:9" x14ac:dyDescent="0.25">
      <c r="B47" s="75" t="s">
        <v>32</v>
      </c>
      <c r="C47" s="71">
        <v>8</v>
      </c>
      <c r="D47" s="71">
        <v>12</v>
      </c>
      <c r="E47" s="71">
        <v>2</v>
      </c>
      <c r="F47" s="71">
        <v>7</v>
      </c>
    </row>
    <row r="48" spans="2:9" x14ac:dyDescent="0.25">
      <c r="B48" s="76" t="s">
        <v>33</v>
      </c>
      <c r="C48" s="71">
        <v>3.2</v>
      </c>
      <c r="D48" s="71">
        <v>6.2</v>
      </c>
      <c r="E48" s="71">
        <v>1.2</v>
      </c>
      <c r="F48" s="71">
        <v>4.2</v>
      </c>
    </row>
    <row r="49" spans="2:6" x14ac:dyDescent="0.25">
      <c r="B49" s="77" t="s">
        <v>34</v>
      </c>
      <c r="C49" s="71">
        <v>66.5</v>
      </c>
      <c r="D49" s="71">
        <v>89.5</v>
      </c>
      <c r="E49" s="71">
        <v>34.5</v>
      </c>
      <c r="F49" s="71">
        <v>57.5</v>
      </c>
    </row>
    <row r="51" spans="2:6" x14ac:dyDescent="0.25">
      <c r="B51" s="102" t="s">
        <v>154</v>
      </c>
      <c r="C51" s="103"/>
      <c r="D51" s="103"/>
      <c r="E51" s="103"/>
      <c r="F51" s="104"/>
    </row>
    <row r="52" spans="2:6" x14ac:dyDescent="0.25">
      <c r="B52" s="78" t="s">
        <v>21</v>
      </c>
      <c r="C52" s="78" t="s">
        <v>138</v>
      </c>
      <c r="D52" s="78" t="s">
        <v>139</v>
      </c>
      <c r="E52" s="78" t="s">
        <v>140</v>
      </c>
      <c r="F52" s="78" t="s">
        <v>141</v>
      </c>
    </row>
    <row r="53" spans="2:6" x14ac:dyDescent="0.25">
      <c r="B53" s="110" t="s">
        <v>155</v>
      </c>
    </row>
    <row r="54" spans="2:6" x14ac:dyDescent="0.25">
      <c r="B54" s="79" t="s">
        <v>156</v>
      </c>
      <c r="C54" s="80">
        <f>111+C43</f>
        <v>268</v>
      </c>
      <c r="D54" s="80">
        <f>111+D43</f>
        <v>320</v>
      </c>
      <c r="E54" s="80">
        <f>111+E43</f>
        <v>180</v>
      </c>
      <c r="F54" s="80">
        <f>111+F43</f>
        <v>240</v>
      </c>
    </row>
    <row r="55" spans="2:6" x14ac:dyDescent="0.25">
      <c r="B55" s="81" t="s">
        <v>157</v>
      </c>
      <c r="C55" s="82">
        <f>51.3+C44</f>
        <v>96</v>
      </c>
      <c r="D55" s="82">
        <f>51.3+D44</f>
        <v>130</v>
      </c>
      <c r="E55" s="82">
        <f>51.3+E44</f>
        <v>65</v>
      </c>
      <c r="F55" s="82">
        <f>51.3+F44</f>
        <v>105</v>
      </c>
    </row>
    <row r="56" spans="2:6" x14ac:dyDescent="0.25">
      <c r="B56" s="79" t="s">
        <v>158</v>
      </c>
      <c r="C56" s="80">
        <f>221+C45</f>
        <v>238</v>
      </c>
      <c r="D56" s="80">
        <f>221+D45</f>
        <v>221</v>
      </c>
      <c r="E56" s="80">
        <f>221+E45</f>
        <v>260</v>
      </c>
      <c r="F56" s="80">
        <f>221+F45</f>
        <v>232</v>
      </c>
    </row>
    <row r="57" spans="2:6" x14ac:dyDescent="0.25">
      <c r="B57" s="81" t="s">
        <v>159</v>
      </c>
      <c r="C57" s="82">
        <f>24.5+C46</f>
        <v>34</v>
      </c>
      <c r="D57" s="82">
        <f>24.5+D46</f>
        <v>24.5</v>
      </c>
      <c r="E57" s="82">
        <f>24.5+E46</f>
        <v>40</v>
      </c>
      <c r="F57" s="82">
        <f>24.5+F46</f>
        <v>35</v>
      </c>
    </row>
    <row r="58" spans="2:6" x14ac:dyDescent="0.25">
      <c r="B58" s="79" t="s">
        <v>160</v>
      </c>
      <c r="C58" s="80">
        <f>48+C47</f>
        <v>56</v>
      </c>
      <c r="D58" s="80">
        <f>48+D47</f>
        <v>60</v>
      </c>
      <c r="E58" s="80">
        <f>48+E47</f>
        <v>50</v>
      </c>
      <c r="F58" s="80">
        <f>48+F47</f>
        <v>55</v>
      </c>
    </row>
    <row r="59" spans="2:6" x14ac:dyDescent="0.25">
      <c r="B59" s="81" t="s">
        <v>161</v>
      </c>
      <c r="C59" s="82">
        <f>8.8+C48</f>
        <v>12</v>
      </c>
      <c r="D59" s="82">
        <f>8.8+D48</f>
        <v>15</v>
      </c>
      <c r="E59" s="82">
        <f>8.8+E48</f>
        <v>10</v>
      </c>
      <c r="F59" s="82">
        <f>8.8+F48</f>
        <v>13</v>
      </c>
    </row>
    <row r="60" spans="2:6" x14ac:dyDescent="0.25">
      <c r="B60" s="79" t="s">
        <v>162</v>
      </c>
      <c r="C60" s="80">
        <f>0.5+C49</f>
        <v>67</v>
      </c>
      <c r="D60" s="80">
        <f>0.5+D49</f>
        <v>90</v>
      </c>
      <c r="E60" s="80">
        <f>0.5+E49</f>
        <v>35</v>
      </c>
      <c r="F60" s="80">
        <f>0.5+F49</f>
        <v>58</v>
      </c>
    </row>
    <row r="62" spans="2:6" x14ac:dyDescent="0.25">
      <c r="B62" s="107" t="s">
        <v>163</v>
      </c>
      <c r="C62" s="103"/>
      <c r="D62" s="103"/>
      <c r="E62" s="103"/>
      <c r="F62" s="104"/>
    </row>
    <row r="63" spans="2:6" x14ac:dyDescent="0.25">
      <c r="B63" s="83" t="s">
        <v>164</v>
      </c>
      <c r="C63" s="84">
        <f>C54+C55+C58+C59+C60</f>
        <v>499</v>
      </c>
      <c r="D63" s="84">
        <f>D54+D55+D58+D59+D60</f>
        <v>615</v>
      </c>
      <c r="E63" s="84">
        <f>E54+E55+E58+E59+E60</f>
        <v>340</v>
      </c>
      <c r="F63" s="84">
        <f>F54+F55+F58+F59+F60</f>
        <v>471</v>
      </c>
    </row>
    <row r="64" spans="2:6" x14ac:dyDescent="0.25">
      <c r="B64" s="85" t="s">
        <v>165</v>
      </c>
      <c r="C64" s="80">
        <f>SUM(C54:C60)</f>
        <v>771</v>
      </c>
      <c r="D64" s="80">
        <f>SUM(D54:D60)</f>
        <v>860.5</v>
      </c>
      <c r="E64" s="80">
        <f>SUM(E54:E60)</f>
        <v>640</v>
      </c>
      <c r="F64" s="80">
        <f>SUM(F54:F60)</f>
        <v>738</v>
      </c>
    </row>
    <row r="65" spans="2:6" x14ac:dyDescent="0.25">
      <c r="B65" s="86" t="s">
        <v>166</v>
      </c>
      <c r="C65" s="87">
        <f>SUMPRODUCT(C43:C49,Assumptions!C13:C19)*1000</f>
        <v>1532790.0000000002</v>
      </c>
      <c r="D65" s="87">
        <f>SUMPRODUCT(D43:D49,Assumptions!C13:C19)*1000</f>
        <v>1920139.9999999998</v>
      </c>
      <c r="E65" s="87">
        <f>SUMPRODUCT(E43:E49,Assumptions!C13:C19)*1000</f>
        <v>1064389.9999999998</v>
      </c>
      <c r="F65" s="87">
        <f>SUMPRODUCT(F43:F49,Assumptions!C13:C19)*1000</f>
        <v>1427290</v>
      </c>
    </row>
    <row r="66" spans="2:6" x14ac:dyDescent="0.25">
      <c r="B66" s="85" t="s">
        <v>167</v>
      </c>
      <c r="C66" s="88">
        <f>C65/100000</f>
        <v>15.327900000000003</v>
      </c>
      <c r="D66" s="88">
        <f>D65/100000</f>
        <v>19.201399999999996</v>
      </c>
      <c r="E66" s="88">
        <f>E65/100000</f>
        <v>10.643899999999997</v>
      </c>
      <c r="F66" s="88">
        <f>F65/100000</f>
        <v>14.2729</v>
      </c>
    </row>
    <row r="67" spans="2:6" x14ac:dyDescent="0.25">
      <c r="B67" s="86" t="s">
        <v>133</v>
      </c>
      <c r="C67" s="82">
        <f>(C56*Assumptions!E15/100*8.76*Assumptions!H15+C57*Assumptions!E16/100*8.76*Assumptions!H16)</f>
        <v>1278.77604</v>
      </c>
      <c r="D67" s="82">
        <f>(D56*Assumptions!E15/100*8.76*Assumptions!H15+D57*Assumptions!E16/100*8.76*Assumptions!H16)</f>
        <v>1172.1033299999999</v>
      </c>
      <c r="E67" s="82">
        <f>(E56*Assumptions!E15/100*8.76*Assumptions!H15+E57*Assumptions!E16/100*8.76*Assumptions!H16)</f>
        <v>1403.1768</v>
      </c>
      <c r="F67" s="82">
        <f>(F56*Assumptions!E15/100*8.76*Assumptions!H15+F57*Assumptions!E16/100*8.76*Assumptions!H16)</f>
        <v>1250.5644599999998</v>
      </c>
    </row>
    <row r="68" spans="2:6" x14ac:dyDescent="0.25">
      <c r="B68" s="89" t="s">
        <v>134</v>
      </c>
      <c r="C68" s="90" t="str">
        <f>IF(C63&gt;=500,"✓ Yes","✗ No")</f>
        <v>✗ No</v>
      </c>
      <c r="D68" s="90" t="str">
        <f>IF(D63&gt;=500,"✓ Yes","✗ No")</f>
        <v>✓ Yes</v>
      </c>
      <c r="E68" s="90" t="str">
        <f>IF(E63&gt;=500,"✓ Yes","✗ No")</f>
        <v>✗ No</v>
      </c>
      <c r="F68" s="90" t="str">
        <f>IF(F63&gt;=500,"✓ Yes","✗ No")</f>
        <v>✗ No</v>
      </c>
    </row>
    <row r="69" spans="2:6" x14ac:dyDescent="0.25">
      <c r="B69" s="85" t="s">
        <v>168</v>
      </c>
      <c r="C69" s="91">
        <f>C67*Assumptions!C29*30</f>
        <v>11508984.359999999</v>
      </c>
      <c r="D69" s="91">
        <f>D67*Assumptions!C29*30</f>
        <v>10548929.969999999</v>
      </c>
      <c r="E69" s="91">
        <f>E67*Assumptions!C29*30</f>
        <v>12628591.199999999</v>
      </c>
      <c r="F69" s="91">
        <f>F67*Assumptions!C29*30</f>
        <v>11255080.139999999</v>
      </c>
    </row>
    <row r="70" spans="2:6" x14ac:dyDescent="0.25">
      <c r="B70" s="92" t="s">
        <v>169</v>
      </c>
      <c r="C70" s="93">
        <f>C65+C69</f>
        <v>13041774.359999999</v>
      </c>
      <c r="D70" s="93">
        <f>D65+D69</f>
        <v>12469069.969999999</v>
      </c>
      <c r="E70" s="93">
        <f>E65+E69</f>
        <v>13692981.199999999</v>
      </c>
      <c r="F70" s="93">
        <f>F65+F69</f>
        <v>12682370.139999999</v>
      </c>
    </row>
    <row r="72" spans="2:6" ht="27.95" customHeight="1" x14ac:dyDescent="0.25">
      <c r="B72" s="105" t="s">
        <v>170</v>
      </c>
      <c r="C72" s="98"/>
      <c r="D72" s="98"/>
      <c r="E72" s="98"/>
      <c r="F72" s="98"/>
    </row>
  </sheetData>
  <mergeCells count="12">
    <mergeCell ref="B1:M1"/>
    <mergeCell ref="B19:F19"/>
    <mergeCell ref="B51:F51"/>
    <mergeCell ref="B30:F30"/>
    <mergeCell ref="B72:F72"/>
    <mergeCell ref="B41:F41"/>
    <mergeCell ref="B62:F62"/>
    <mergeCell ref="B39:I39"/>
    <mergeCell ref="B2:M2"/>
    <mergeCell ref="B4:F4"/>
    <mergeCell ref="B38:I38"/>
    <mergeCell ref="B5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838"/>
  </sheetPr>
  <dimension ref="B1:M52"/>
  <sheetViews>
    <sheetView showGridLines="0" zoomScaleNormal="100" workbookViewId="0">
      <selection activeCell="M60" sqref="M60"/>
    </sheetView>
  </sheetViews>
  <sheetFormatPr defaultColWidth="8.7109375" defaultRowHeight="15" x14ac:dyDescent="0.25"/>
  <cols>
    <col min="1" max="1" width="1.85546875" customWidth="1"/>
    <col min="2" max="2" width="100" customWidth="1"/>
  </cols>
  <sheetData>
    <row r="1" spans="2:13" ht="37.5" customHeight="1" x14ac:dyDescent="0.25">
      <c r="B1" s="97" t="s">
        <v>171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2:13" ht="21.75" customHeight="1" x14ac:dyDescent="0.25">
      <c r="B2" s="108" t="s">
        <v>172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4" spans="2:13" ht="15" customHeight="1" x14ac:dyDescent="0.25">
      <c r="B4" s="99" t="s">
        <v>173</v>
      </c>
      <c r="C4" s="100"/>
      <c r="D4" s="100"/>
      <c r="E4" s="100"/>
      <c r="F4" s="100"/>
      <c r="G4" s="100"/>
      <c r="H4" s="101"/>
    </row>
    <row r="5" spans="2:13" ht="15" customHeight="1" x14ac:dyDescent="0.25">
      <c r="B5" s="120" t="s">
        <v>174</v>
      </c>
      <c r="C5" s="98"/>
      <c r="D5" s="98"/>
      <c r="E5" s="98"/>
      <c r="F5" s="98"/>
      <c r="G5" s="98"/>
      <c r="H5" s="98"/>
    </row>
    <row r="6" spans="2:13" ht="15" customHeight="1" x14ac:dyDescent="0.25">
      <c r="B6" s="120" t="s">
        <v>175</v>
      </c>
      <c r="C6" s="98"/>
      <c r="D6" s="98"/>
      <c r="E6" s="98"/>
      <c r="F6" s="98"/>
      <c r="G6" s="98"/>
      <c r="H6" s="98"/>
    </row>
    <row r="7" spans="2:13" ht="15" customHeight="1" x14ac:dyDescent="0.25">
      <c r="B7" s="120" t="s">
        <v>176</v>
      </c>
      <c r="C7" s="98"/>
      <c r="D7" s="98"/>
      <c r="E7" s="98"/>
      <c r="F7" s="98"/>
      <c r="G7" s="98"/>
      <c r="H7" s="98"/>
    </row>
    <row r="8" spans="2:13" ht="15" customHeight="1" x14ac:dyDescent="0.25">
      <c r="B8" s="120" t="s">
        <v>177</v>
      </c>
      <c r="C8" s="98"/>
      <c r="D8" s="98"/>
      <c r="E8" s="98"/>
      <c r="F8" s="98"/>
      <c r="G8" s="98"/>
      <c r="H8" s="98"/>
    </row>
    <row r="10" spans="2:13" ht="15" customHeight="1" x14ac:dyDescent="0.25">
      <c r="B10" s="99" t="s">
        <v>178</v>
      </c>
      <c r="C10" s="100"/>
      <c r="D10" s="100"/>
      <c r="E10" s="100"/>
      <c r="F10" s="100"/>
      <c r="G10" s="100"/>
      <c r="H10" s="101"/>
    </row>
    <row r="11" spans="2:13" ht="15" customHeight="1" x14ac:dyDescent="0.25">
      <c r="B11" s="120" t="s">
        <v>179</v>
      </c>
      <c r="C11" s="98"/>
      <c r="D11" s="98"/>
      <c r="E11" s="98"/>
      <c r="F11" s="98"/>
      <c r="G11" s="98"/>
      <c r="H11" s="98"/>
    </row>
    <row r="12" spans="2:13" ht="15" customHeight="1" x14ac:dyDescent="0.25">
      <c r="B12" s="120" t="s">
        <v>180</v>
      </c>
      <c r="C12" s="98"/>
      <c r="D12" s="98"/>
      <c r="E12" s="98"/>
      <c r="F12" s="98"/>
      <c r="G12" s="98"/>
      <c r="H12" s="98"/>
    </row>
    <row r="13" spans="2:13" ht="15" customHeight="1" x14ac:dyDescent="0.25">
      <c r="B13" s="120" t="s">
        <v>181</v>
      </c>
      <c r="C13" s="98"/>
      <c r="D13" s="98"/>
      <c r="E13" s="98"/>
      <c r="F13" s="98"/>
      <c r="G13" s="98"/>
      <c r="H13" s="98"/>
    </row>
    <row r="14" spans="2:13" ht="15" customHeight="1" x14ac:dyDescent="0.25">
      <c r="B14" s="120" t="s">
        <v>182</v>
      </c>
      <c r="C14" s="98"/>
      <c r="D14" s="98"/>
      <c r="E14" s="98"/>
      <c r="F14" s="98"/>
      <c r="G14" s="98"/>
      <c r="H14" s="98"/>
    </row>
    <row r="15" spans="2:13" ht="15" customHeight="1" x14ac:dyDescent="0.25">
      <c r="B15" s="120" t="s">
        <v>183</v>
      </c>
      <c r="C15" s="98"/>
      <c r="D15" s="98"/>
      <c r="E15" s="98"/>
      <c r="F15" s="98"/>
      <c r="G15" s="98"/>
      <c r="H15" s="98"/>
    </row>
    <row r="17" spans="2:8" ht="15" customHeight="1" x14ac:dyDescent="0.25">
      <c r="B17" s="99" t="s">
        <v>184</v>
      </c>
      <c r="C17" s="100"/>
      <c r="D17" s="100"/>
      <c r="E17" s="100"/>
      <c r="F17" s="100"/>
      <c r="G17" s="100"/>
      <c r="H17" s="101"/>
    </row>
    <row r="18" spans="2:8" ht="15" customHeight="1" x14ac:dyDescent="0.25">
      <c r="B18" s="120" t="s">
        <v>185</v>
      </c>
      <c r="C18" s="98"/>
      <c r="D18" s="98"/>
      <c r="E18" s="98"/>
      <c r="F18" s="98"/>
      <c r="G18" s="98"/>
      <c r="H18" s="98"/>
    </row>
    <row r="19" spans="2:8" ht="15" customHeight="1" x14ac:dyDescent="0.25">
      <c r="B19" s="120" t="s">
        <v>186</v>
      </c>
      <c r="C19" s="98"/>
      <c r="D19" s="98"/>
      <c r="E19" s="98"/>
      <c r="F19" s="98"/>
      <c r="G19" s="98"/>
      <c r="H19" s="98"/>
    </row>
    <row r="20" spans="2:8" ht="15" customHeight="1" x14ac:dyDescent="0.25">
      <c r="B20" s="120" t="s">
        <v>187</v>
      </c>
      <c r="C20" s="98"/>
      <c r="D20" s="98"/>
      <c r="E20" s="98"/>
      <c r="F20" s="98"/>
      <c r="G20" s="98"/>
      <c r="H20" s="98"/>
    </row>
    <row r="22" spans="2:8" ht="15" customHeight="1" x14ac:dyDescent="0.25">
      <c r="B22" s="99" t="s">
        <v>188</v>
      </c>
      <c r="C22" s="100"/>
      <c r="D22" s="100"/>
      <c r="E22" s="100"/>
      <c r="F22" s="100"/>
      <c r="G22" s="100"/>
      <c r="H22" s="101"/>
    </row>
    <row r="23" spans="2:8" ht="15" customHeight="1" x14ac:dyDescent="0.25">
      <c r="B23" s="120" t="s">
        <v>189</v>
      </c>
      <c r="C23" s="98"/>
      <c r="D23" s="98"/>
      <c r="E23" s="98"/>
      <c r="F23" s="98"/>
      <c r="G23" s="98"/>
      <c r="H23" s="98"/>
    </row>
    <row r="24" spans="2:8" ht="15" customHeight="1" x14ac:dyDescent="0.25">
      <c r="B24" s="120" t="s">
        <v>190</v>
      </c>
      <c r="C24" s="98"/>
      <c r="D24" s="98"/>
      <c r="E24" s="98"/>
      <c r="F24" s="98"/>
      <c r="G24" s="98"/>
      <c r="H24" s="98"/>
    </row>
    <row r="25" spans="2:8" ht="15" customHeight="1" x14ac:dyDescent="0.25">
      <c r="B25" s="120" t="s">
        <v>191</v>
      </c>
      <c r="C25" s="98"/>
      <c r="D25" s="98"/>
      <c r="E25" s="98"/>
      <c r="F25" s="98"/>
      <c r="G25" s="98"/>
      <c r="H25" s="98"/>
    </row>
    <row r="26" spans="2:8" ht="15" customHeight="1" x14ac:dyDescent="0.25">
      <c r="B26" s="120" t="s">
        <v>192</v>
      </c>
      <c r="C26" s="98"/>
      <c r="D26" s="98"/>
      <c r="E26" s="98"/>
      <c r="F26" s="98"/>
      <c r="G26" s="98"/>
      <c r="H26" s="98"/>
    </row>
    <row r="27" spans="2:8" ht="15" customHeight="1" x14ac:dyDescent="0.25">
      <c r="B27" s="120" t="s">
        <v>193</v>
      </c>
      <c r="C27" s="98"/>
      <c r="D27" s="98"/>
      <c r="E27" s="98"/>
      <c r="F27" s="98"/>
      <c r="G27" s="98"/>
      <c r="H27" s="98"/>
    </row>
    <row r="29" spans="2:8" ht="15" customHeight="1" x14ac:dyDescent="0.25">
      <c r="B29" s="99" t="s">
        <v>194</v>
      </c>
      <c r="C29" s="100"/>
      <c r="D29" s="100"/>
      <c r="E29" s="100"/>
      <c r="F29" s="100"/>
      <c r="G29" s="100"/>
      <c r="H29" s="101"/>
    </row>
    <row r="30" spans="2:8" ht="15" customHeight="1" x14ac:dyDescent="0.25">
      <c r="B30" s="120" t="s">
        <v>195</v>
      </c>
      <c r="C30" s="98"/>
      <c r="D30" s="98"/>
      <c r="E30" s="98"/>
      <c r="F30" s="98"/>
      <c r="G30" s="98"/>
      <c r="H30" s="98"/>
    </row>
    <row r="31" spans="2:8" ht="15" customHeight="1" x14ac:dyDescent="0.25">
      <c r="B31" s="120" t="s">
        <v>196</v>
      </c>
      <c r="C31" s="98"/>
      <c r="D31" s="98"/>
      <c r="E31" s="98"/>
      <c r="F31" s="98"/>
      <c r="G31" s="98"/>
      <c r="H31" s="98"/>
    </row>
    <row r="32" spans="2:8" ht="15" customHeight="1" x14ac:dyDescent="0.25">
      <c r="B32" s="120" t="s">
        <v>197</v>
      </c>
      <c r="C32" s="98"/>
      <c r="D32" s="98"/>
      <c r="E32" s="98"/>
      <c r="F32" s="98"/>
      <c r="G32" s="98"/>
      <c r="H32" s="98"/>
    </row>
    <row r="33" spans="2:8" ht="15" customHeight="1" x14ac:dyDescent="0.25">
      <c r="B33" s="120" t="s">
        <v>198</v>
      </c>
      <c r="C33" s="98"/>
      <c r="D33" s="98"/>
      <c r="E33" s="98"/>
      <c r="F33" s="98"/>
      <c r="G33" s="98"/>
      <c r="H33" s="98"/>
    </row>
    <row r="35" spans="2:8" ht="15" customHeight="1" x14ac:dyDescent="0.25">
      <c r="B35" s="99" t="s">
        <v>199</v>
      </c>
      <c r="C35" s="100"/>
      <c r="D35" s="100"/>
      <c r="E35" s="100"/>
      <c r="F35" s="100"/>
      <c r="G35" s="100"/>
      <c r="H35" s="101"/>
    </row>
    <row r="36" spans="2:8" ht="15" customHeight="1" x14ac:dyDescent="0.25">
      <c r="B36" s="120" t="s">
        <v>200</v>
      </c>
      <c r="C36" s="98"/>
      <c r="D36" s="98"/>
      <c r="E36" s="98"/>
      <c r="F36" s="98"/>
      <c r="G36" s="98"/>
      <c r="H36" s="98"/>
    </row>
    <row r="37" spans="2:8" ht="15" customHeight="1" x14ac:dyDescent="0.25">
      <c r="B37" s="120" t="s">
        <v>201</v>
      </c>
      <c r="C37" s="98"/>
      <c r="D37" s="98"/>
      <c r="E37" s="98"/>
      <c r="F37" s="98"/>
      <c r="G37" s="98"/>
      <c r="H37" s="98"/>
    </row>
    <row r="38" spans="2:8" ht="15" customHeight="1" x14ac:dyDescent="0.25">
      <c r="B38" s="120" t="s">
        <v>202</v>
      </c>
      <c r="C38" s="98"/>
      <c r="D38" s="98"/>
      <c r="E38" s="98"/>
      <c r="F38" s="98"/>
      <c r="G38" s="98"/>
      <c r="H38" s="98"/>
    </row>
    <row r="39" spans="2:8" ht="15" customHeight="1" x14ac:dyDescent="0.25">
      <c r="B39" s="120" t="s">
        <v>203</v>
      </c>
      <c r="C39" s="98"/>
      <c r="D39" s="98"/>
      <c r="E39" s="98"/>
      <c r="F39" s="98"/>
      <c r="G39" s="98"/>
      <c r="H39" s="98"/>
    </row>
    <row r="41" spans="2:8" ht="15" customHeight="1" x14ac:dyDescent="0.25">
      <c r="B41" s="99" t="s">
        <v>204</v>
      </c>
      <c r="C41" s="100"/>
      <c r="D41" s="100"/>
      <c r="E41" s="100"/>
      <c r="F41" s="100"/>
      <c r="G41" s="100"/>
      <c r="H41" s="101"/>
    </row>
    <row r="42" spans="2:8" ht="15" customHeight="1" x14ac:dyDescent="0.25">
      <c r="B42" s="120" t="s">
        <v>205</v>
      </c>
      <c r="C42" s="98"/>
      <c r="D42" s="98"/>
      <c r="E42" s="98"/>
      <c r="F42" s="98"/>
      <c r="G42" s="98"/>
      <c r="H42" s="98"/>
    </row>
    <row r="43" spans="2:8" ht="15" customHeight="1" x14ac:dyDescent="0.25">
      <c r="B43" s="120" t="s">
        <v>206</v>
      </c>
      <c r="C43" s="98"/>
      <c r="D43" s="98"/>
      <c r="E43" s="98"/>
      <c r="F43" s="98"/>
      <c r="G43" s="98"/>
      <c r="H43" s="98"/>
    </row>
    <row r="44" spans="2:8" ht="15" customHeight="1" x14ac:dyDescent="0.25">
      <c r="B44" s="120" t="s">
        <v>207</v>
      </c>
      <c r="C44" s="98"/>
      <c r="D44" s="98"/>
      <c r="E44" s="98"/>
      <c r="F44" s="98"/>
      <c r="G44" s="98"/>
      <c r="H44" s="98"/>
    </row>
    <row r="45" spans="2:8" ht="15" customHeight="1" x14ac:dyDescent="0.25">
      <c r="B45" s="120" t="s">
        <v>208</v>
      </c>
      <c r="C45" s="98"/>
      <c r="D45" s="98"/>
      <c r="E45" s="98"/>
      <c r="F45" s="98"/>
      <c r="G45" s="98"/>
      <c r="H45" s="98"/>
    </row>
    <row r="46" spans="2:8" ht="15" customHeight="1" x14ac:dyDescent="0.25">
      <c r="B46" s="120" t="s">
        <v>209</v>
      </c>
      <c r="C46" s="98"/>
      <c r="D46" s="98"/>
      <c r="E46" s="98"/>
      <c r="F46" s="98"/>
      <c r="G46" s="98"/>
      <c r="H46" s="98"/>
    </row>
    <row r="48" spans="2:8" ht="15" customHeight="1" x14ac:dyDescent="0.25">
      <c r="B48" s="99" t="s">
        <v>210</v>
      </c>
      <c r="C48" s="100"/>
      <c r="D48" s="100"/>
      <c r="E48" s="100"/>
      <c r="F48" s="100"/>
      <c r="G48" s="100"/>
      <c r="H48" s="101"/>
    </row>
    <row r="49" spans="2:8" ht="15" customHeight="1" x14ac:dyDescent="0.25">
      <c r="B49" s="120" t="s">
        <v>211</v>
      </c>
      <c r="C49" s="98"/>
      <c r="D49" s="98"/>
      <c r="E49" s="98"/>
      <c r="F49" s="98"/>
      <c r="G49" s="98"/>
      <c r="H49" s="98"/>
    </row>
    <row r="50" spans="2:8" ht="15" customHeight="1" x14ac:dyDescent="0.25">
      <c r="B50" s="120" t="s">
        <v>212</v>
      </c>
      <c r="C50" s="98"/>
      <c r="D50" s="98"/>
      <c r="E50" s="98"/>
      <c r="F50" s="98"/>
      <c r="G50" s="98"/>
      <c r="H50" s="98"/>
    </row>
    <row r="51" spans="2:8" ht="15" customHeight="1" x14ac:dyDescent="0.25">
      <c r="B51" s="120" t="s">
        <v>213</v>
      </c>
      <c r="C51" s="98"/>
      <c r="D51" s="98"/>
      <c r="E51" s="98"/>
      <c r="F51" s="98"/>
      <c r="G51" s="98"/>
      <c r="H51" s="98"/>
    </row>
    <row r="52" spans="2:8" ht="15" customHeight="1" x14ac:dyDescent="0.25">
      <c r="B52" s="120" t="s">
        <v>214</v>
      </c>
      <c r="C52" s="98"/>
      <c r="D52" s="98"/>
      <c r="E52" s="98"/>
      <c r="F52" s="98"/>
      <c r="G52" s="98"/>
      <c r="H52" s="98"/>
    </row>
  </sheetData>
  <mergeCells count="44">
    <mergeCell ref="B1:M1"/>
    <mergeCell ref="B12:H12"/>
    <mergeCell ref="B50:H50"/>
    <mergeCell ref="B26:H26"/>
    <mergeCell ref="B33:H33"/>
    <mergeCell ref="B42:H42"/>
    <mergeCell ref="B23:H23"/>
    <mergeCell ref="B2:M2"/>
    <mergeCell ref="B44:H44"/>
    <mergeCell ref="B31:H31"/>
    <mergeCell ref="B39:H39"/>
    <mergeCell ref="B48:H48"/>
    <mergeCell ref="B24:H24"/>
    <mergeCell ref="B30:H30"/>
    <mergeCell ref="B15:H15"/>
    <mergeCell ref="B11:H11"/>
    <mergeCell ref="B52:H52"/>
    <mergeCell ref="B43:H43"/>
    <mergeCell ref="B19:H19"/>
    <mergeCell ref="B10:H10"/>
    <mergeCell ref="B13:H13"/>
    <mergeCell ref="B49:H49"/>
    <mergeCell ref="B51:H51"/>
    <mergeCell ref="B46:H46"/>
    <mergeCell ref="B18:H18"/>
    <mergeCell ref="B27:H27"/>
    <mergeCell ref="B35:H35"/>
    <mergeCell ref="B45:H45"/>
    <mergeCell ref="B36:H36"/>
    <mergeCell ref="B25:H25"/>
    <mergeCell ref="B41:H41"/>
    <mergeCell ref="B37:H37"/>
    <mergeCell ref="B4:H4"/>
    <mergeCell ref="B5:H5"/>
    <mergeCell ref="B20:H20"/>
    <mergeCell ref="B38:H38"/>
    <mergeCell ref="B29:H29"/>
    <mergeCell ref="B32:H32"/>
    <mergeCell ref="B14:H14"/>
    <mergeCell ref="B17:H17"/>
    <mergeCell ref="B8:H8"/>
    <mergeCell ref="B22:H22"/>
    <mergeCell ref="B6:H6"/>
    <mergeCell ref="B7:H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Baseline Capacity</vt:lpstr>
      <vt:lpstr>Optimization Model</vt:lpstr>
      <vt:lpstr>Results &amp; Charts</vt:lpstr>
      <vt:lpstr>Scenario Analysis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Banerjee</cp:lastModifiedBy>
  <cp:revision>1</cp:revision>
  <dcterms:created xsi:type="dcterms:W3CDTF">2026-02-01T04:06:33Z</dcterms:created>
  <dcterms:modified xsi:type="dcterms:W3CDTF">2026-02-01T16:14:36Z</dcterms:modified>
  <dc:language>en-US</dc:language>
</cp:coreProperties>
</file>